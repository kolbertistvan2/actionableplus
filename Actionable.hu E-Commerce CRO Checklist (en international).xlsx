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 Overview" sheetId="1" r:id="rId4"/>
    <sheet state="visible" name="🚨 General Website" sheetId="2" r:id="rId5"/>
    <sheet state="visible" name="🏠 Home Page" sheetId="3" r:id="rId6"/>
    <sheet state="visible" name="📰 Landing Page" sheetId="4" r:id="rId7"/>
    <sheet state="visible" name="🏪 Category Page" sheetId="5" r:id="rId8"/>
    <sheet state="visible" name="🧵 Product Page" sheetId="6" r:id="rId9"/>
    <sheet state="visible" name="🛒 Add to Cart Page" sheetId="7" r:id="rId10"/>
    <sheet state="visible" name="💳 Checkout Page" sheetId="8" r:id="rId11"/>
    <sheet state="visible" name="🙏 Thank You Page" sheetId="9" r:id="rId12"/>
    <sheet state="visible" name="Bonus - ⚒️ Tools You Need to Ga" sheetId="10" r:id="rId13"/>
  </sheets>
  <definedNames/>
  <calcPr/>
</workbook>
</file>

<file path=xl/sharedStrings.xml><?xml version="1.0" encoding="utf-8"?>
<sst xmlns="http://schemas.openxmlformats.org/spreadsheetml/2006/main" count="1637" uniqueCount="572">
  <si>
    <t>Overview</t>
  </si>
  <si>
    <t>📈</t>
  </si>
  <si>
    <t>Pages</t>
  </si>
  <si>
    <t>Checkpoints</t>
  </si>
  <si>
    <t>Can be Improved</t>
  </si>
  <si>
    <t>To Do</t>
  </si>
  <si>
    <t>Improved</t>
  </si>
  <si>
    <t>%</t>
  </si>
  <si>
    <t>Progress Bar</t>
  </si>
  <si>
    <t>Factor</t>
  </si>
  <si>
    <t>Page Significance</t>
  </si>
  <si>
    <t>🚨 General Website</t>
  </si>
  <si>
    <t>🏠 Home Page</t>
  </si>
  <si>
    <t>📰 Landing Page</t>
  </si>
  <si>
    <t>🏪 Category Page</t>
  </si>
  <si>
    <t>🧵 Product Page</t>
  </si>
  <si>
    <t>🛒 Add to Cart Page</t>
  </si>
  <si>
    <t>💳 Checkout Page</t>
  </si>
  <si>
    <t>🙏 Thank You Page</t>
  </si>
  <si>
    <t>Total</t>
  </si>
  <si>
    <t>🛍️</t>
  </si>
  <si>
    <t>Conversion Rate Optimiation SOPs</t>
  </si>
  <si>
    <t>SOP</t>
  </si>
  <si>
    <t>SOP 007: How to Generate the Necessary Legal Policies for Your Shopify Store</t>
  </si>
  <si>
    <t>SOP 005: How to Build a Customized Knowledge Base with HelpDocs</t>
  </si>
  <si>
    <t>SOP 018: How to Build a Branded Knowledge Base Using Help Scout</t>
  </si>
  <si>
    <t>SOP 022: How to Use Optimizely to Set up and Analyze A/B Tests on Your Site</t>
  </si>
  <si>
    <t>SOP 024: A Guide to Increasing Your Shopify Site’s Speed</t>
  </si>
  <si>
    <t>SOP 023: How to Use Convert to Set Up and Analyze A/B Tests on Your Site</t>
  </si>
  <si>
    <t>SOP 027: How to Use Shopify's Multi-language Feature</t>
  </si>
  <si>
    <t>SOP 028: Setting up the BOGO (Buy One Get One) Feature on Shopify</t>
  </si>
  <si>
    <t>SOP 029: Syncing Discounts to Sales Channels in Shopify</t>
  </si>
  <si>
    <t>SOP 030: Conducting a URL Audit on Your Site</t>
  </si>
  <si>
    <t>SOP 031: Exporting Discount Codes in Shopify</t>
  </si>
  <si>
    <t>SOP 032: Pre-filling Customer Information in Shopify</t>
  </si>
  <si>
    <t>SOP 033: Setting Sale Prices for Products on Shopify</t>
  </si>
  <si>
    <t>SOP 034: Add a Discount to a Shopify Gift Card: A Quick Tutorial</t>
  </si>
  <si>
    <t>SOP 035: Setting Up a New Workflow on Shopify: A Step-by-Step Guide</t>
  </si>
  <si>
    <t>SOP 037: Creating New Shopify Workflows Fast Using Templates</t>
  </si>
  <si>
    <t>SOP 038: Efficient Workflow Management with Shopify Flow</t>
  </si>
  <si>
    <t>SOP 039: Activating and Deactivating Shop Pay in Shopify</t>
  </si>
  <si>
    <t>SOP 040: Enabling Shop Pay in Shopify for Third-Party Gateways</t>
  </si>
  <si>
    <t>SOP 041: Filtering Orders by Protection Status on Shopify</t>
  </si>
  <si>
    <t>SOP 042: Using Automatic Discounts for Abandoned Checkout Recovery Emails in Shopify</t>
  </si>
  <si>
    <t>SOP 043: Best Practices for High Converting Product Landing Pages on Shopify</t>
  </si>
  <si>
    <t>SOP 050: Safeguard Your Order from Chargeback with Shopify Protect</t>
  </si>
  <si>
    <t>SOP 056: How to Optimize Blogs in Shopify Using Yoast</t>
  </si>
  <si>
    <t>SOP 172:  How to Create Discount Codes in Shopify</t>
  </si>
  <si>
    <t>SOP 173:  How to Use Shopify's Abandoned Cart Recovery Feature</t>
  </si>
  <si>
    <t>SOP 257: How to Connect Your Pop-Up with your Klaviyo List &amp; Eliminate The Double Opt-In</t>
  </si>
  <si>
    <t>SOP 259: Adding a “20s After Landing on Site” Trigger to Your Popups</t>
  </si>
  <si>
    <t>SOP 260: Keeping Your Popups Only on the Collection, Landing &amp; Product Pages</t>
  </si>
  <si>
    <t>SOP 261: Boosting Conversions with Gamified Popups</t>
  </si>
  <si>
    <t>SOP 262: SOP 262: A Guide to Connecting Your List to a Welcome Flow</t>
  </si>
  <si>
    <t>SOP 263: Increasing Opt-In Conversions by Adding Timers</t>
  </si>
  <si>
    <t>SOP 264: How to Set Up an Automatic Pop-Up Reactivation After 7 Days</t>
  </si>
  <si>
    <t>SOP 265: Disabling Pop-Ups for Existing Email Subscribers</t>
  </si>
  <si>
    <t>SOP 266: A Guide to Optimizing your Emails for Dark Mode</t>
  </si>
  <si>
    <t>**Bonus** - 30 Email Marketing SOPs</t>
  </si>
  <si>
    <t>SOP 400: How to Build An Effective Welcome Flow Series on Klaviyo</t>
  </si>
  <si>
    <t>SOP 400</t>
  </si>
  <si>
    <t>SOP 228: Maximizing Conversions with an Abandoned Cart Flow in Klaviyo</t>
  </si>
  <si>
    <t>SOP 201</t>
  </si>
  <si>
    <t>SOP 229: How to Set a Successful Browse Abandonment Flow on Klaviyo</t>
  </si>
  <si>
    <t>SOP 229</t>
  </si>
  <si>
    <t>SOP 230: Optimizing Customer Retention with a First-Time Post-Purchase Flow on Klaviyo</t>
  </si>
  <si>
    <t>SOP 230</t>
  </si>
  <si>
    <t>SOP 231: Maximizing Repeat Business with a Post-Purchase Returning Flow on Klaviyo</t>
  </si>
  <si>
    <t>SOP 231</t>
  </si>
  <si>
    <t>SOP 232: Regaining Lost Customers with a Win-Back Flow on Klaviyo</t>
  </si>
  <si>
    <t>SOP 232</t>
  </si>
  <si>
    <t>SOP 233: Boosting Repeat Business with a Replenishment Flow on Klaviyo</t>
  </si>
  <si>
    <t>SOP 233</t>
  </si>
  <si>
    <t>SOP 234: Encouraging Customer Reviews with a Review Request Flow on Klaviyo</t>
  </si>
  <si>
    <t>SOP 234</t>
  </si>
  <si>
    <t>SOP 235: Setting Up an Order Shipment Flow on Klaviyo to Keep Your Customers Informed</t>
  </si>
  <si>
    <t>SOP 235</t>
  </si>
  <si>
    <t>SOP 236: Building Customer Loyalty by Setting a Loyalty Flow on Klaviyo</t>
  </si>
  <si>
    <t>SOP 236</t>
  </si>
  <si>
    <t>SOP 237: Setting Up a Dedicated Sending Domain to Enhance Email Deliverability</t>
  </si>
  <si>
    <t>SOP 237</t>
  </si>
  <si>
    <t>SOP 241: A Guide to Creating a BIMI</t>
  </si>
  <si>
    <t>SOP 241</t>
  </si>
  <si>
    <t>SOP 238: A Guide to Monthly Email List Cleaning and Management</t>
  </si>
  <si>
    <t>SOP 238</t>
  </si>
  <si>
    <t>SOP 239: A Guide to Enhancing Your Email Campaigns with GIFS</t>
  </si>
  <si>
    <t>SOP 239</t>
  </si>
  <si>
    <t>SOP 245: A Guide to Developing your Facebook Audience Sync Strategy</t>
  </si>
  <si>
    <t>SOP 245</t>
  </si>
  <si>
    <t>SOP 240: How to Get The Most Out of Your Emails on Mobile</t>
  </si>
  <si>
    <t>SOP 240</t>
  </si>
  <si>
    <t>SOP 242: Excluding Customers Who Already Viewed Your Product in Your Email Flows</t>
  </si>
  <si>
    <t>SOP 242</t>
  </si>
  <si>
    <t>SOP 243: How to Successfully A/B Test Email Sending Times</t>
  </si>
  <si>
    <t>SOP 243</t>
  </si>
  <si>
    <t xml:space="preserve">SOP 244: How to Successfully A/B Test Subject Lines </t>
  </si>
  <si>
    <t>SOP 218</t>
  </si>
  <si>
    <t>SOP 251: Setting Up Dynamic Discount Codes</t>
  </si>
  <si>
    <t>SOP 251</t>
  </si>
  <si>
    <t>SOP 246: Setting Up a Trigger for Abandoned Checkouts</t>
  </si>
  <si>
    <t>SOP 246</t>
  </si>
  <si>
    <t>SOP 247: Setting Up Dynamic Reviews on Okendo</t>
  </si>
  <si>
    <t>SOP 247</t>
  </si>
  <si>
    <t>SOP 254: Boost Conversions by Adding a Buy Now, Pay Later Option in Your Emails</t>
  </si>
  <si>
    <t>SOP 254</t>
  </si>
  <si>
    <t>SOP 248: Adding Abandoned Cart Items to Your Emails</t>
  </si>
  <si>
    <t>SOP 248</t>
  </si>
  <si>
    <t>SOP 249: Setting Up a Trigger for Customer Views on a Product</t>
  </si>
  <si>
    <t>SOP 249</t>
  </si>
  <si>
    <t>SOP 250: Setting Up a Trigger for Purchased Order Flows</t>
  </si>
  <si>
    <t>SOP 250</t>
  </si>
  <si>
    <t>SOP 258: A Guide to Segmenting Your Emails to: Engaged (30d, 60d, 90d, 120d)</t>
  </si>
  <si>
    <t>SOP 258</t>
  </si>
  <si>
    <t>SOP 252: How to Segragate Apple &amp; Android Users in Your Email Audience</t>
  </si>
  <si>
    <t>SOP 252</t>
  </si>
  <si>
    <t>SOP 253: Using Sendtric.Com to Add Urgency to Your Emails</t>
  </si>
  <si>
    <t>SOP 253</t>
  </si>
  <si>
    <t>SOP 255: How to Use inboxally.com to Get Your Emails Out of Spam For Good</t>
  </si>
  <si>
    <t>SOP 256: Adding Dynamic Banners to Your Emails</t>
  </si>
  <si>
    <t>SOP 256</t>
  </si>
  <si>
    <t xml:space="preserve">                         General Website Checklist</t>
  </si>
  <si>
    <t>🚨</t>
  </si>
  <si>
    <t>General Website</t>
  </si>
  <si>
    <t>Desktop Example</t>
  </si>
  <si>
    <t>Mobile Example</t>
  </si>
  <si>
    <t>Status</t>
  </si>
  <si>
    <t>Measure of Imporance</t>
  </si>
  <si>
    <t>Priority</t>
  </si>
  <si>
    <t>Header</t>
  </si>
  <si>
    <t>On hover, the empty cart widget displays the "Shop our best-sellers" button.</t>
  </si>
  <si>
    <t>Case</t>
  </si>
  <si>
    <t>Mini-cart widget displays prominent links to the basket and purchase confirmation page.</t>
  </si>
  <si>
    <t>A prominent mini-cart widget is displayed on every page showing the current total, discount, number of products, and item list on hover.</t>
  </si>
  <si>
    <t>The shopping cart widget clearly informs customers of how much more they need to spend to qualify for the current promos offered by the store.</t>
  </si>
  <si>
    <t>The widget for managing your shopping cart is visibly located in the upper right corner of every page.</t>
  </si>
  <si>
    <t>👁️</t>
  </si>
  <si>
    <t>User Experience</t>
  </si>
  <si>
    <t>Heatmaps are used to continuously monitor and enhance customer experience.</t>
  </si>
  <si>
    <t>The main menu does not contain additional tabs or links for the privacy policy, return policy, or terms and conditions.</t>
  </si>
  <si>
    <t>Fixed store navigation for easy access to categories, Home Page, Search Bar, and Shopping Cart widgets.</t>
  </si>
  <si>
    <t>The navigation bar tabs are organized based on user activity, with less important corporate information at the bottom.</t>
  </si>
  <si>
    <t>Accurate category labels describe the content.</t>
  </si>
  <si>
    <t>Detailed navigational feedback indicating the user's current location on the site.</t>
  </si>
  <si>
    <t>The menu structure is wide and shallow with several options per level, instead of deep with limited options.</t>
  </si>
  <si>
    <t>👇</t>
  </si>
  <si>
    <t>Footer</t>
  </si>
  <si>
    <t>A link for "Back to Top" is available in the footer for quick page navigation.</t>
  </si>
  <si>
    <t>Social media buttons and the number of likes or followers are in the footer, allowing the user to verify trust.</t>
  </si>
  <si>
    <t>Trust badges and icons, such as Norton Secured, with reassuring text like "Shop with confidence," are displayed in the footer.</t>
  </si>
  <si>
    <t>Evidence of legitimate business is displayed, such as a physical address or office photo.</t>
  </si>
  <si>
    <t>Advantages of shopping from the store, such as free shipping, returns, money back, products shipped this month, and contact information are highlighted in the footer.</t>
  </si>
  <si>
    <t>Links for store's privacy policy, return policy, and terms and conditions are available at any time for easy viewing.</t>
  </si>
  <si>
    <t>Navigation links to various sections are available in the footer.</t>
  </si>
  <si>
    <t>🧿</t>
  </si>
  <si>
    <t>Search Bar</t>
  </si>
  <si>
    <t>A magnifying glass icon represents the search feature in the search box.</t>
  </si>
  <si>
    <t>A search bar is located at the top or top-right of the homepage.</t>
  </si>
  <si>
    <t>The search query is displayed on the results page and can be easily modified.</t>
  </si>
  <si>
    <t>Suggestions based on previous queries and current trends appear as soon as the search bar is clicked.</t>
  </si>
  <si>
    <t>Search results are ranked by relevancy and the number of results.</t>
  </si>
  <si>
    <t>An auto-complete and auto-suggest feature is present in the search box.</t>
  </si>
  <si>
    <t>If no results are found, the engine suggests ways to fix the query.</t>
  </si>
  <si>
    <t>Popular searches provide relevant data as shown by analytics.</t>
  </si>
  <si>
    <t>Instructions on how to use the search engine's features are provided with examples.</t>
  </si>
  <si>
    <t>The search bar has enough room for typical-length queries.</t>
  </si>
  <si>
    <t>Typing in the search bar and hitting the "Enter" button brings up results.</t>
  </si>
  <si>
    <t>Related categories and item suggestions are provided automatically.</t>
  </si>
  <si>
    <t>Spelling errors and related terms are checked in all searches.</t>
  </si>
  <si>
    <t>Overall</t>
  </si>
  <si>
    <t>Every page has a visible Store Logo in same location. Upon clicking on the Logo, the customer is redirected to the Home Page.</t>
  </si>
  <si>
    <t>The top bar promoting the site-wide discount is highly noticeable and contains a clear call to action.</t>
  </si>
  <si>
    <t>Each page loads within 5 seconds (home page, landing page, product page).</t>
  </si>
  <si>
    <t>The primary Calls to Action on website pages are emphasized through minor micro-animations.</t>
  </si>
  <si>
    <t>A Call to Action (CTA) is shown on every page, including those with 0 views, 404 error pages, blog posts, and the About Us page.</t>
  </si>
  <si>
    <t>Links and button labels start with a verb and time component, for example: "Shop Now."</t>
  </si>
  <si>
    <t>The site has a wishlist feature for a convenient initial purchase.</t>
  </si>
  <si>
    <t>Buttons are interactive and the animations are functional, including rounded corners, a subtle gradient, hover states, and blue underlined links.</t>
  </si>
  <si>
    <t>Buttons and forms are placed far enough apart to prevent accidental clicks on unintended targets.</t>
  </si>
  <si>
    <t>Additional item upsell options are available between the checkout and Thank You pages, allowing the customer to avoid re-entering payment information if they want to make further purchases.</t>
  </si>
  <si>
    <t>Urgency and scarcity ("Only Today") are utilized with a corresponding CTA to promote site-wide offers, such as free shipping, at the top of the home page with phrases like "Shop best-sellers now".</t>
  </si>
  <si>
    <t>Simplified options for dismissing or accepting the cookie alert bar under 2 seconds are provided</t>
  </si>
  <si>
    <t>This site does not feature disruptive pop-ups that show up upon initial landing on the site.</t>
  </si>
  <si>
    <t>Non-clickable items do not imply clickability.</t>
  </si>
  <si>
    <t xml:space="preserve">                         Home Page</t>
  </si>
  <si>
    <t>🏠</t>
  </si>
  <si>
    <t>Home Page</t>
  </si>
  <si>
    <t>⚙️</t>
  </si>
  <si>
    <t>The Founder's story, mission, and vision are displayed on the home page.</t>
  </si>
  <si>
    <t>The home page has a professional design that creates a positive first impression without being overloaded.</t>
  </si>
  <si>
    <t>Site-wide offers are prominently displayed at the top of the home page with urgency and scarcity triggers.</t>
  </si>
  <si>
    <t>Products sold by the store are easily noticeable when you land on the home page.</t>
  </si>
  <si>
    <t>The home page uses meaningful, high-quality graphics, not clip art or pictures of models.</t>
  </si>
  <si>
    <t>The value proposition is prominently stated on the home page with a tagline or welcome blurb.</t>
  </si>
  <si>
    <t>Special deals, offers, and urgency offers are highlighted near the top of the home page.</t>
  </si>
  <si>
    <t>Visually prominent CTAs are found above the fold on the home page with relevant copy such as "Start shopping."</t>
  </si>
  <si>
    <t>The most important product categories are displayed near the top of the home page with descriptive photos.</t>
  </si>
  <si>
    <t>Main benefits of shopping with the store are highlighted on the home page, such as being "Vegan friendly" or "Not tested on animals."</t>
  </si>
  <si>
    <t>A short list of the most important products with links is available on the home page.</t>
  </si>
  <si>
    <t>The store has special category pages, such as best-sellers and sales, to help users start shopping.</t>
  </si>
  <si>
    <t>Recently viewed items are displayed for returning visitors on the home page.</t>
  </si>
  <si>
    <t>The home page includes options for customers to contact the store, such as live chat or email.</t>
  </si>
  <si>
    <t>📱</t>
  </si>
  <si>
    <t>Testimonials</t>
  </si>
  <si>
    <t>Customer reviews or product details with links to products on the home page.</t>
  </si>
  <si>
    <t>Home page displays overall store ratings from authoritative review sites (e.g. Trustpilot, Reviews.com, Yotpo, Podium).</t>
  </si>
  <si>
    <t>The home page showcases awards, trust badges, and certificates earned by the store.</t>
  </si>
  <si>
    <t>The PR exposures of the product/brand are highlighted on the home page, with logos of news sites/blogs/celebrities.</t>
  </si>
  <si>
    <t>Logos of well-known brands are displayed on the home page.</t>
  </si>
  <si>
    <t>Home page features user-generated photos (e.g. from Instagram).</t>
  </si>
  <si>
    <t xml:space="preserve">                         Landing Page</t>
  </si>
  <si>
    <t>📰</t>
  </si>
  <si>
    <t>Landing Page</t>
  </si>
  <si>
    <t>Website Overview</t>
  </si>
  <si>
    <t>Customers can ask questions through live chat or a provided phone number on the landing page.</t>
  </si>
  <si>
    <t>No external links on landing page, such as a clickable logo or navigation menu.</t>
  </si>
  <si>
    <t>Navigation bar sticks to the page and displays product name, image, sections, availability, original price, new price, discount, and call-to-action button. It hides when scrolling down and reappears when scrolling up.</t>
  </si>
  <si>
    <t>The "Buy" button leads straight to checkout, bypassing the cart page.</t>
  </si>
  <si>
    <t>Call To Action Section</t>
  </si>
  <si>
    <t>The CTA copy clearly explains what happens when clicked (e.g. "Proceed to Secure Checkout").</t>
  </si>
  <si>
    <t>Availability of product shown near main CTA.</t>
  </si>
  <si>
    <t>Primary CTA background color differs from other elements.</t>
  </si>
  <si>
    <t>The old and new price displayed with savings when on sale.</t>
  </si>
  <si>
    <t>Interactive selectors used for product variants update the gallery image and price in real-time.</t>
  </si>
  <si>
    <t>Express payment options are shown and available (e.g. PayPal, Amazon, Google Pay, Apple Pay) for direct-response landing pages.</t>
  </si>
  <si>
    <t>Localized units for product size are shown (e.g. cm, inches, kg)</t>
  </si>
  <si>
    <t>Apparel product descriptions mention the model and shirt size</t>
  </si>
  <si>
    <t>Interactive selectors used for quantity selection update price and quantity in real-time</t>
  </si>
  <si>
    <t>Product variants are accessible and large with white space on mobile to avoid misclicks</t>
  </si>
  <si>
    <t>Product price is prominently displayed, especially for discounted products</t>
  </si>
  <si>
    <t>Product price is placed near the main CTA</t>
  </si>
  <si>
    <t xml:space="preserve">Additional charges shown near main CTA (e.g. shipping, VAT). </t>
  </si>
  <si>
    <t>The product variant selection links with the product gallery and displays chosen variant images.</t>
  </si>
  <si>
    <t>Product price is localized.</t>
  </si>
  <si>
    <t>Free shipping highlighted near main CTA</t>
  </si>
  <si>
    <t>All shipping information shown near main CTA (delivery, cost, time)</t>
  </si>
  <si>
    <t>The CTA is the most visible element and has the "cart" icon.</t>
  </si>
  <si>
    <t>A reminder to select size/color is included before "add to cart" for customer convenience.</t>
  </si>
  <si>
    <t>Clear information on returns, refunds, and money-back guarantee shown</t>
  </si>
  <si>
    <t>A size chart or link with a small popup is provided near size selections for products with different sizes.</t>
  </si>
  <si>
    <t>Payment in installments option available (e.g. Klarna, AfterPay) for expensive products on direct-response landing pages.</t>
  </si>
  <si>
    <t>Highlights the main benefits of purchasing the products (e.g. environmental friendly, made from quality products, durability, etc.)</t>
  </si>
  <si>
    <t>🗒️</t>
  </si>
  <si>
    <t>Product Description</t>
  </si>
  <si>
    <t>Product information is organized in a scannable structure with grouped information and bullet points, highlighting important benefits.</t>
  </si>
  <si>
    <t>Embedded reviews or screenshots from social networks such as Facebook, Messenger, Whatsapp, Twitter, Instagram, Viber, and SMS are included on the product page.</t>
  </si>
  <si>
    <t>The product descriptions are easily readable with color, font type, contrast, font size, and a single-column format. It is structured in a maximum of 4 lines with a length limited to 75 characters and a line height of 1.5.</t>
  </si>
  <si>
    <t>Technical specifications are presented in a readable table with clear lines, a hover state, and easily distinguishable colors.</t>
  </si>
  <si>
    <t>The product page displays everything that is included with the product, including photos where possible.</t>
  </si>
  <si>
    <t>FAQs for each specific product and store-wide questions are available for customers.</t>
  </si>
  <si>
    <t>Section titles focus on the benefits of the product, not just its features.</t>
  </si>
  <si>
    <t>The product page offers product comparisons for customers.</t>
  </si>
  <si>
    <t>The product description includes instructions for use in three easy steps.</t>
  </si>
  <si>
    <t>Longer sections, such as "General" and "Technical info," are grouped in an accordion and easily scannable on mobile devices.</t>
  </si>
  <si>
    <t>Thumbnails of available images are prominently displayed in the photo gallery.</t>
  </si>
  <si>
    <t>There is an attractive main product photo.</t>
  </si>
  <si>
    <t>The product gallery includes product videos.</t>
  </si>
  <si>
    <t>Standardized layout with product photo gallery on the left and description and CTA on the right.</t>
  </si>
  <si>
    <t>There are swipe actions supported in the product gallery on mobile devices.</t>
  </si>
  <si>
    <t>There are images for different product variants/sizes.</t>
  </si>
  <si>
    <t>✔️</t>
  </si>
  <si>
    <t>Customer Testimonials</t>
  </si>
  <si>
    <t>Logos of news sites, blogs, and celebrities where the product/brand has had PR exposure are displayed on the product page (e.g. "Used by executives at Fortune 500").</t>
  </si>
  <si>
    <t>Social media assets like Facebook and Twitter followers are displayed on the product page.</t>
  </si>
  <si>
    <t>Customer reviews stand out visually from other content, ideally with a slightly yellow background.</t>
  </si>
  <si>
    <t>The product page displays photos (with faces) of customers happily using the product.</t>
  </si>
  <si>
    <t>Overall product star ratings are displayed and can be filtered by star rating.</t>
  </si>
  <si>
    <t>The product page lists the number of customers who have made a purchase this week, month, or all-time (e.g. "17,885 products successfully shipped and delivered this month alone").</t>
  </si>
  <si>
    <t>The product page features video testimonials from customers.</t>
  </si>
  <si>
    <t>Customer reviews on the product page include a review title, customer photos of the product, star rating, photo of the reviewer, name and last name, "verified" buyer status, occupation, and age.</t>
  </si>
  <si>
    <t>💵</t>
  </si>
  <si>
    <t>Conversion and AOV 'boosters'</t>
  </si>
  <si>
    <t xml:space="preserve">Visitors who viewed this product also viewed the section showing complementary/alternative products. </t>
  </si>
  <si>
    <t>Quantity discounts near main CTA: 1x $29.99 ["Top choice" badge], 2x 7.99€ ["Recommended" badge"], 3x $12.49 ["Best value" badge]</t>
  </si>
  <si>
    <t>User taken to upsell variant with a cheaper second item after clicking "Buy button".</t>
  </si>
  <si>
    <t xml:space="preserve">Urgency triggers (e.g. "Today only", "Black Friday offer", etc.) near main CTA. </t>
  </si>
  <si>
    <t>Relevant cross-sell/up-sell products offered.</t>
  </si>
  <si>
    <t xml:space="preserve">Store highlights small percentage of profit going to charity. </t>
  </si>
  <si>
    <t>Display of people who viewed/bought product in last 24 hours</t>
  </si>
  <si>
    <t>Use scarcity triggers (e.g. "Only 1 product left") near the main CTA.</t>
  </si>
  <si>
    <t>Bundle products with prominent discounts offered</t>
  </si>
  <si>
    <t>The product description is easy to read with font size, contrast, and a single column format. Line length is limited to 75 characters with a line-height of 1.5, and a maximum of 4 lines..</t>
  </si>
  <si>
    <t>Organize product information in a scannable structure with grouped information and bullet points, highlighting important benefits.</t>
  </si>
  <si>
    <t>The product description includes instructions for use in three simple steps.</t>
  </si>
  <si>
    <t xml:space="preserve">                         Category Page</t>
  </si>
  <si>
    <t>🏪</t>
  </si>
  <si>
    <t>Category Page</t>
  </si>
  <si>
    <t>Product List</t>
  </si>
  <si>
    <t>Put badges beside the product image to highlight special features like "Fast delivery", "Best-seller", "New", "Top choice", or "Trending".</t>
  </si>
  <si>
    <t>Upon mouse hover, additional product photos are displayed.</t>
  </si>
  <si>
    <t xml:space="preserve">Each row displays 3-4 relevant products. </t>
  </si>
  <si>
    <t>The product images have a consistent style.</t>
  </si>
  <si>
    <t xml:space="preserve">The best-selling items for each category are featured on the top page. </t>
  </si>
  <si>
    <t>The category page indicates the available variants (size, color) for each specific product.</t>
  </si>
  <si>
    <t>The product cards have uniform sizes and dimensions.</t>
  </si>
  <si>
    <t>The customer can see the product page as they hover over the CTA button.</t>
  </si>
  <si>
    <t xml:space="preserve">Clearly show the prominent product title, old price, new price, discount, review count, overall star rating, short description, product variants [size, color], short descriptions, and product attributes. </t>
  </si>
  <si>
    <t>Add urgency to your items by indicating if it is in limited stock and selling out fast.</t>
  </si>
  <si>
    <t>Show out-of-stock items Items to as proof of scarcity.</t>
  </si>
  <si>
    <t>Give options for the customer to input their email address if the product is currently not available to notify them when it becomes available</t>
  </si>
  <si>
    <t>Filters</t>
  </si>
  <si>
    <t>Clearly labeled and useful filters are shown in the category page but it is applicable only for stores with a large number of products.</t>
  </si>
  <si>
    <t>The filters are large enough to be visible (relevant only for stores where users are prone to use filters).</t>
  </si>
  <si>
    <t xml:space="preserve">At the top of the filters, the most popular filters are displayed. </t>
  </si>
  <si>
    <t>Each category features relevant filters (e.g. screen size for the "Laptop" category)</t>
  </si>
  <si>
    <t>It is very noticeable even on mobile that filters are applied, how many there are, and can be easily removed.</t>
  </si>
  <si>
    <t>Customers can select multiple filters at once</t>
  </si>
  <si>
    <t>Filters are displayed in a standard position on the left or on top of the page.</t>
  </si>
  <si>
    <t>The category page auto-updates in real-time (ajax) when a filter is selected.</t>
  </si>
  <si>
    <t>Product filters are sticky and are convenient for frequent use.</t>
  </si>
  <si>
    <t>Selectors can be used for various types of filters (e.g. color swatches instead of "black", a price range slider where users can input in the minimum and maximum price instead of a pre-made list of price ranges)</t>
  </si>
  <si>
    <t>Overall Website</t>
  </si>
  <si>
    <t>A user-friendly category page is available for customers to easily choose products (e.g. newest styles, lowest price, featured items, promo discounts, etc.)</t>
  </si>
  <si>
    <t>The option to show product categories is found in the top-right corner above the product list/grid</t>
  </si>
  <si>
    <t>The category page shows easily understandable (sub)category names</t>
  </si>
  <si>
    <t>Category page uses relevant category page design (grid view when images are the main decision factor and list view when product attributes are the main decision factor)</t>
  </si>
  <si>
    <t>Display an updated number of products available on each page (either if the page is filtered or not)</t>
  </si>
  <si>
    <t xml:space="preserve">On top of the page, a page description section is visibly displayed (cca. 400 words). </t>
  </si>
  <si>
    <t xml:space="preserve">If you go to the product page and then back to the category page, customers stay at the same vertical position. </t>
  </si>
  <si>
    <t xml:space="preserve">                         Product Page </t>
  </si>
  <si>
    <t>🧵</t>
  </si>
  <si>
    <t>Product Page</t>
  </si>
  <si>
    <t>Online customers can ask questions either via live chat or phone number with details on the product page.</t>
  </si>
  <si>
    <t>Navigation features product details (name, image, sections, availability, pricing) that remains visible when scrolling up, but hides when scrolling down.</t>
  </si>
  <si>
    <t>The back button takes the user to the previous page.</t>
  </si>
  <si>
    <t>There is an option for customers to enter their email for product availability notifications.</t>
  </si>
  <si>
    <t>The product page contains Breadcrumbs available (excluded for single-product stores and direct-response landing pages).</t>
  </si>
  <si>
    <t>👜</t>
  </si>
  <si>
    <t>Products Section</t>
  </si>
  <si>
    <t xml:space="preserve">Highlight the Main Product Title by making it look more prominent compared to other content. </t>
  </si>
  <si>
    <t>Do not exceed 65 characters in writing the Product Title so the Google search results will show the full title.</t>
  </si>
  <si>
    <t xml:space="preserve">Use descriptive words in the product titles to encourage shoppers to buy the item. </t>
  </si>
  <si>
    <t>Emphasize the key product benefit and use power words, e.g. limited, special, unique, durable, new, etc.</t>
  </si>
  <si>
    <t>Use green check arrow icons for the list of other key benefits of the product close to the main title and link to a detailed description.</t>
  </si>
  <si>
    <t>Display product rating overviews near product titles that are linked to their corresponding product reviews.</t>
  </si>
  <si>
    <t>📷</t>
  </si>
  <si>
    <t>Photo gallery</t>
  </si>
  <si>
    <t>A gallery showcases various product photos.</t>
  </si>
  <si>
    <t>The main product photo is visually appealing.</t>
  </si>
  <si>
    <t>Thumbnail images of other available photos are displayed in the product gallery.</t>
  </si>
  <si>
    <t>The image zoom functionality is easily accessible for the main product photo, particularly on mobile.</t>
  </si>
  <si>
    <t>Images for different product variants/sizes are available.</t>
  </si>
  <si>
    <t>The product gallery supports swipe gestures on mobile devices.</t>
  </si>
  <si>
    <t>Arrows allow navigation between images in the product gallery.</t>
  </si>
  <si>
    <t>📞</t>
  </si>
  <si>
    <t>Call-to-Action Section</t>
  </si>
  <si>
    <t>Use ample white space for product variants to prevent misclicks and they should be easily accessible on mobile.</t>
  </si>
  <si>
    <t xml:space="preserve">The most visible element on the product page is the main CTA, featuring the "cart" icon. </t>
  </si>
  <si>
    <t>Show a prominent reminder to select size/color is displayed if the customer forgets and clicks "add to cart" too soon.</t>
  </si>
  <si>
    <t xml:space="preserve">Product details show localized units with varying sizes/measurements (e.g. kg, inches, and cm). </t>
  </si>
  <si>
    <t>The product variant selection links with the product gallery and displays images of chosen variants</t>
  </si>
  <si>
    <t>Display a size chart or popup link located near the size selections for products with different sizes.</t>
  </si>
  <si>
    <t xml:space="preserve">Interactive selectors are utilized for product variants, updating the gallery image and price in real-time without reloading the page. </t>
  </si>
  <si>
    <t>Product descriptions mention the clothing size and model size (apparel only)</t>
  </si>
  <si>
    <t xml:space="preserve">The product price is prominent, especially if discounted. </t>
  </si>
  <si>
    <t>Clearly state in the CTA copy clearly the outcome of clicking on it (e.g. "Review order and payment method")</t>
  </si>
  <si>
    <t>If any additional charges apply to the order, they should be prominently displayed near the main CTA (e.g. taxes, additional shipping fee for different locations).</t>
  </si>
  <si>
    <t>After a product is added to the cart, the main CTA should change state after 2 seconds.</t>
  </si>
  <si>
    <t>For choosing quantity options,  use Interactive Selectors to update the price and quantity in real time without reloading the page.</t>
  </si>
  <si>
    <t xml:space="preserve">The product's availability is displayed near the main CTA (e.g. "In stock"). </t>
  </si>
  <si>
    <t>The product price is localized</t>
  </si>
  <si>
    <t>The primary CTA background color differs from other elements (e.g. slightly grey)</t>
  </si>
  <si>
    <t>Clear feedback is given when a product is added to the cart (e.g. increase in number in mini-cart widget).</t>
  </si>
  <si>
    <t>Information on returns, refunds, and money-back guarantee is clearly displayed</t>
  </si>
  <si>
    <t>All shipping information is displayed near the main CTA (location delivery, country flag, cost, time)</t>
  </si>
  <si>
    <t>The product price is placed near the main CTA.</t>
  </si>
  <si>
    <t>The old price with strike-through is displayed with the new price and savings amount (%, $) when the product is on sale</t>
  </si>
  <si>
    <t>If Free Shipping is offered, it must be highlighted near the main CTA.</t>
  </si>
  <si>
    <t>Commonly used express payment options  (e.g.  Apple Pay, PayPal, Google Pay, and Amazon) are shown and available for landing pages.</t>
  </si>
  <si>
    <t>The option for installment payments (e.g. Klarna, AfterPay) is available for expensive products on direct-response landing pages that do not encourage adding other products to the cart.</t>
  </si>
  <si>
    <t>🤳</t>
  </si>
  <si>
    <t xml:space="preserve">The product page displays the record of customers this week, month, or all-time, for example, "7,795 products shipped and delivered this month". </t>
  </si>
  <si>
    <t>Filters by rating are available and display the product's overall star ratings.</t>
  </si>
  <si>
    <t>Customer reviews include review title, customer photos of the product, star rating, reviewer photo, name, "verified" status, occupation, and age.</t>
  </si>
  <si>
    <t>The product page features photos of customers using the product, with visible faces.</t>
  </si>
  <si>
    <t xml:space="preserve">Customer reviews are visually prominent, with a slightly yellow background to distinguish them from other content. </t>
  </si>
  <si>
    <t>The product page showcases logos of news outlets, blogs, and celebrities where the brand has received PR exposure, such as "used by executives at Fortune 500".</t>
  </si>
  <si>
    <t>Video testimonials are featured on the product page.</t>
  </si>
  <si>
    <t>To show that many people trust and purchased the products, display the social media followers from Facebook and Twitter.</t>
  </si>
  <si>
    <t>🪙</t>
  </si>
  <si>
    <t>Altering and AOV "boosters"</t>
  </si>
  <si>
    <t xml:space="preserve">Suggested upsells show the "Visitors who viewed this product also viewed..." section, to suggest complementary or alternative products in the product page. </t>
  </si>
  <si>
    <t>If the store donates a portion of profits to charity, highlight this information.</t>
  </si>
  <si>
    <t>The product page shows the number of customers who have viewed and bought the product in the past 24 hours.</t>
  </si>
  <si>
    <t>Use "Only 1 product is left,"  and other Scarcity Triggers beside the main CTA button.</t>
  </si>
  <si>
    <t>In the area near the CTA, use Urgency Triggers such as "Limited Offer", "Exclusive Discount", "Black Friday offer", and "Today only".</t>
  </si>
  <si>
    <t>Bundle products with prominent discounts are offered.</t>
  </si>
  <si>
    <t>Cross-sell and up-sell products are offered.</t>
  </si>
  <si>
    <t>The main CTA displays clear quantity discounts. For example: 1 piece for $7.99 with a "Best Seller" badge or  2 pieces for $27.49 with "Limited Offer" badge.</t>
  </si>
  <si>
    <t>🗞️</t>
  </si>
  <si>
    <t>Detailed Product Information</t>
  </si>
  <si>
    <t xml:space="preserve">The product information is structured for easy scanning, with bullet points, grouped information, and featured benefits. </t>
  </si>
  <si>
    <t>Section titles emphasize the benefits of the product, rather than its features.</t>
  </si>
  <si>
    <t xml:space="preserve">The product page offers product comparisons. </t>
  </si>
  <si>
    <t xml:space="preserve">The product description is designed for easy reading, with a font size suitable for contrast, a single-column layout, 75 characters per line, a line height of 1.5, and a maximum of 4 lines. </t>
  </si>
  <si>
    <t>Customers can see all items included with the product, accompanied by photos if possible.</t>
  </si>
  <si>
    <t>The product page includes customer FAQs, both specific to the product and store-wide.</t>
  </si>
  <si>
    <t>The technical specifications table is readable, with distinct line colors and a hover state, and is not too widely spaced.</t>
  </si>
  <si>
    <t>Longer sections, such as "General" and "Technical Info," are grouped together in an accordion format for easy scanning on mobile devices.</t>
  </si>
  <si>
    <t>The product description includes instructions for using the product in 3 easy steps.</t>
  </si>
  <si>
    <t>Show embedded reviews or screenshots from social networks such as Instagram, Quora, Facebook, Messenger, WhatsApp, Twitter, Viber, and text messages.</t>
  </si>
  <si>
    <t xml:space="preserve">                         Add-to-Cart Page</t>
  </si>
  <si>
    <t>🛒</t>
  </si>
  <si>
    <t>Add-to-Cart Page</t>
  </si>
  <si>
    <t>🤙</t>
  </si>
  <si>
    <t>Call-to-Action section</t>
  </si>
  <si>
    <t xml:space="preserve">Main CTA, "Proceed to a secure checkout," features a lock icon on a distinct gray background. </t>
  </si>
  <si>
    <t xml:space="preserve">Savings on the entire purchase are shown near the main CTA. </t>
  </si>
  <si>
    <t>Prominently display estimated taxes.</t>
  </si>
  <si>
    <t>The main CTA is duplicated at the top and bottom of the page and says "Proceed to a Secure Checkout".</t>
  </si>
  <si>
    <t>Display the subtotal price near the main CTA.</t>
  </si>
  <si>
    <t>On the Cart Page, display a secondary CTA button that says "Continue shopping".</t>
  </si>
  <si>
    <t>Amazon Pay, Google Pay, PayPal, and other most widely used payment options are displayed below the main CTA.</t>
  </si>
  <si>
    <t>Installment methods including Klarna, with detailed information are displayed and their icons or images are shown on the page.</t>
  </si>
  <si>
    <t>Trust icon/seal badge, such as "Verified by Norton," along with reassuring copy "100% Secure payment" is below the main CTA.</t>
  </si>
  <si>
    <t>The items remain in the cart when user returns to site.</t>
  </si>
  <si>
    <t xml:space="preserve">Offers to upsell/cross-sell products with benefits, urgency, and discounts. </t>
  </si>
  <si>
    <t>Cart informs user's proximity to free shipping threshold or discount.</t>
  </si>
  <si>
    <t>Prominently notifies the customer if the free shipping limit is reached.</t>
  </si>
  <si>
    <t xml:space="preserve">Cart allows changing product quantity, updates automatically. </t>
  </si>
  <si>
    <t>The cart displays all important product info (title, image, chosen variant, quantity, price).</t>
  </si>
  <si>
    <t>Displays the correct image for the chosen variant.</t>
  </si>
  <si>
    <t>The cart design is clear and uncluttered.</t>
  </si>
  <si>
    <t>Easy to remove items from cart</t>
  </si>
  <si>
    <t>The customers can enter a coupon code but with a hidden input field (so they don't have to search for coupon codes on Google)</t>
  </si>
  <si>
    <t>Scarcity triggers displayed next to each item ("Only 1 in stock") in prominent color</t>
  </si>
  <si>
    <t>Help centers (e.g. live chat, email, phone number) are easily accessible through the Add to Cart page.</t>
  </si>
  <si>
    <t>Returns, refunds, and money-back guarantee information displayed</t>
  </si>
  <si>
    <t>Expected delivery date is displayed in cart.</t>
  </si>
  <si>
    <t>Urgency triggers are used in the cart. For example: "Your items are reserved for 10 minutes," or "Order in the next 12 mins to be shipped today".</t>
  </si>
  <si>
    <t>Include an option to save products/cart for later instead of deleting orders.</t>
  </si>
  <si>
    <t xml:space="preserve">                         Checkout Page</t>
  </si>
  <si>
    <t>💳</t>
  </si>
  <si>
    <t>Checkout Page</t>
  </si>
  <si>
    <t>👉</t>
  </si>
  <si>
    <t>Login and Register</t>
  </si>
  <si>
    <t xml:space="preserve">Simple password selection process during registration. </t>
  </si>
  <si>
    <t>Irrelevant</t>
  </si>
  <si>
    <t xml:space="preserve">Create an easy way of recovering password. </t>
  </si>
  <si>
    <t>Done</t>
  </si>
  <si>
    <t>Checkout enables users to log in to avoid repeating information entries.</t>
  </si>
  <si>
    <t>📝</t>
  </si>
  <si>
    <t>Application Form</t>
  </si>
  <si>
    <t xml:space="preserve">The option to check "billing address is the same as shipping" on the checkout page is visible. </t>
  </si>
  <si>
    <t>The checkout page has minimum necessary input fields</t>
  </si>
  <si>
    <t>The credit card input fields have a gray background for perceived trust.</t>
  </si>
  <si>
    <t>User's email address is requested first for contact purposes</t>
  </si>
  <si>
    <t>Input fields have suggestions to reduce cognitive load</t>
  </si>
  <si>
    <t>Input fields layout is simple, in a single column</t>
  </si>
  <si>
    <t>Easy access to payment options on mobile</t>
  </si>
  <si>
    <t>The credit card details has visual prompts (e.g. CVV code image)</t>
  </si>
  <si>
    <t>Input fields have "floating labels" for name and contents display.</t>
  </si>
  <si>
    <t>Tab key for easy navigation between form input fields</t>
  </si>
  <si>
    <t>Numeric keyboard for number-only input fields (post code, phone number) on mobile</t>
  </si>
  <si>
    <t>Keyboard with dedicated buttons for @ and ".com" for email input on mobile</t>
  </si>
  <si>
    <t>Input field width shows data format and amount needed</t>
  </si>
  <si>
    <t xml:space="preserve">Does not ask to enter the same information multiple times. </t>
  </si>
  <si>
    <t>Phone number input has a label explaining it's for delivery purposes</t>
  </si>
  <si>
    <t>The checkout page uses street address database to avoid mistyping.</t>
  </si>
  <si>
    <t>There is an inline validation with green/red border and arrow/x sign for input field accuracy.</t>
  </si>
  <si>
    <t>Error state clearly states input field errors and corrections</t>
  </si>
  <si>
    <t>The optional and mandatory fields are distinguishable from each other.</t>
  </si>
  <si>
    <t>An auto-complete function is used where possible (e.g. auto-fill city from postal code) in the check out page.</t>
  </si>
  <si>
    <t>Input fields saved if user leaves and returns to checkout</t>
  </si>
  <si>
    <t>Option to delete content with one click using an "X" icon.</t>
  </si>
  <si>
    <t>💹</t>
  </si>
  <si>
    <t xml:space="preserve">Order bumps are available on the checkout page, such as "Skip the queue," "Urgent shipping," "Gift packaging," and "Package insurance" for less than $5.  </t>
  </si>
  <si>
    <t xml:space="preserve">Urgency triggers are used including "Your items are reserved for 15 minutes" and "Order completion within next 20 minutes can be shipped today." </t>
  </si>
  <si>
    <t>Checkout includes an upsell step before the Thank You page, where users can add more products to their orders.</t>
  </si>
  <si>
    <t xml:space="preserve">The main CTA is the most prominent element on the checkout page. </t>
  </si>
  <si>
    <t>The checkout page offers easy access to the store's help center (e.g. live chat, email, phone number).</t>
  </si>
  <si>
    <t xml:space="preserve">No outgoing links (e.g. clickable logo, navigation, footer) are present the on checkout page. </t>
  </si>
  <si>
    <t xml:space="preserve">The checkout form lets the user continue the purchase even if an error occurs. </t>
  </si>
  <si>
    <t>Clear order summary displayed before committing to purchase.</t>
  </si>
  <si>
    <t>A privacy policy is easily accessible, especially on pages that request personal information, and is straightforward and clear.</t>
  </si>
  <si>
    <t>A multi-step checkout process is clear in terms of the actions after clicking the CTA.</t>
  </si>
  <si>
    <t>The Trust Icon/Seal Badge (e.g. verified by Norton) with "Shop with confidence" reassuring copy displayed near the main CTA.</t>
  </si>
  <si>
    <t xml:space="preserve">Clear feedback is provided during checkout with a progress bar indicating the user's position. </t>
  </si>
  <si>
    <t>Checkout enables guest purchase options.</t>
  </si>
  <si>
    <t xml:space="preserve">                         Thank You Page</t>
  </si>
  <si>
    <t>🙏</t>
  </si>
  <si>
    <t>Thank You Page</t>
  </si>
  <si>
    <t>💸</t>
  </si>
  <si>
    <t>The customer gets a Confirmation Email that includes the product summary, upsells, and the same coupon code from the Thank You page.</t>
  </si>
  <si>
    <t>Lower-priced additional items/quantities of the same product or complementary product are offered on the Thank You page.</t>
  </si>
  <si>
    <t>The Thank You page gives coupon codes for which can be used for the next purchase or share with friends.</t>
  </si>
  <si>
    <t xml:space="preserve">Shows a clear summary of the customer's order. </t>
  </si>
  <si>
    <t xml:space="preserve">Displays information about the expected delivery time and which courier will deliver it. </t>
  </si>
  <si>
    <t>Clearly shows a successful purchase process and sends a "congratulations" message.</t>
  </si>
  <si>
    <t>Offers an easy way for the customer to get in touch with the store owner via live chat, email, or phone number.</t>
  </si>
  <si>
    <t>Sends a tracking number to enable customers to monitor package delivery.</t>
  </si>
  <si>
    <t>**Bonus** - ⚒️ Tools You Need to Gain an Edge ⚒️</t>
  </si>
  <si>
    <t>🔥</t>
  </si>
  <si>
    <t>Essential Apps &amp; Tools</t>
  </si>
  <si>
    <t>Link</t>
  </si>
  <si>
    <t>Trainual</t>
  </si>
  <si>
    <t>Trainual helps you organize your SOPs. Onboarding, training, process docs, SOPs — Store all the knowledge people need in one easy app</t>
  </si>
  <si>
    <t>Access Here</t>
  </si>
  <si>
    <t>Clickfunnels2.0</t>
  </si>
  <si>
    <t>Build high performance eCommerce sales funnels to increase your conversion rate, automate fulfillment, market to customers, and so much more!</t>
  </si>
  <si>
    <t>Adcreative.ai</t>
  </si>
  <si>
    <t>Generate conversion focused ad creatives and social media post creatives in a matter of seconds using Artificial Intelligence. FREE Trial Available</t>
  </si>
  <si>
    <t>Reconvert</t>
  </si>
  <si>
    <t>Add one click upsell, post purchase upsell &amp; discounted upsells to your checkout &amp; thank you page. FREE Plan available</t>
  </si>
  <si>
    <t>Foreplay</t>
  </si>
  <si>
    <t>Save ads FOREVER from Facebook Ad Library, TikTok Creative Center and Build 2x better ad briefs in 20% of the time. FREE Trial Available</t>
  </si>
  <si>
    <t>Hyros</t>
  </si>
  <si>
    <t>Uses AI Tracking To Instantly Increase AD ROI + INSTANTLY FIX IOS RELATED TRACKING ISSUES</t>
  </si>
  <si>
    <t>Anytrack</t>
  </si>
  <si>
    <t>Proven Tracking software that also integrates your server-side sales to Facebook's Pixel</t>
  </si>
  <si>
    <t>Spocket</t>
  </si>
  <si>
    <t>Discover top dropshipping suppliers of original US/EU products</t>
  </si>
  <si>
    <t>Dropified</t>
  </si>
  <si>
    <t>Automate Dropshipping For eBay/AliExpress &amp; Create &amp; Dropship Your Private Label Supplements</t>
  </si>
  <si>
    <t>Shophunter</t>
  </si>
  <si>
    <t>Find the top 20% of eCommerce stores products making 80% of sales</t>
  </si>
  <si>
    <t>ParcelPanel</t>
  </si>
  <si>
    <t>Improve customer satisfaction &amp; boost your sales with a branded post-purchase tracking experience</t>
  </si>
  <si>
    <t>My Private Proxy</t>
  </si>
  <si>
    <t>The most Secure Private Proxy Supplier. 10% Bonus Limited Offer available.</t>
  </si>
  <si>
    <t>Appstle</t>
  </si>
  <si>
    <t>Conveniently setup and manage subscriptions with robust merchant tools, and an intuitive UI. Free Plan available</t>
  </si>
  <si>
    <t>Honeycomb</t>
  </si>
  <si>
    <t>Boost your sales with powerful upsell &amp; cross sell offers at every step of your customer journey. Free plan available</t>
  </si>
  <si>
    <t>provesource</t>
  </si>
  <si>
    <t>Increase credibility and sales using social proof.</t>
  </si>
  <si>
    <t>Outgrow</t>
  </si>
  <si>
    <t>Boost Your Marketing With Quizzes, Calculators And Forms</t>
  </si>
  <si>
    <t>Stamped</t>
  </si>
  <si>
    <t>Accelerate Brand Growth with Reviews</t>
  </si>
  <si>
    <t>Apps &amp; Tools</t>
  </si>
  <si>
    <t>Funnelish</t>
  </si>
  <si>
    <t>Incense</t>
  </si>
  <si>
    <t>Collaborate with multiple vetted creators at once. Increase your ads performance with whitelisted ads.</t>
  </si>
  <si>
    <t>Billio</t>
  </si>
  <si>
    <t>Effortless creator-produced videos</t>
  </si>
  <si>
    <t>inFlow Inventory</t>
  </si>
  <si>
    <t>If you’re having trouble keeping up with inventory and orders, inFlow is the software for you.</t>
  </si>
  <si>
    <t>NordVPN</t>
  </si>
  <si>
    <t>65% discount + 4 extra months VPN protection</t>
  </si>
  <si>
    <t>UniTel</t>
  </si>
  <si>
    <t>UniTel Voice is the virtual phone system that lets entrepreneurs run &amp; grow their business from anywhere.</t>
  </si>
  <si>
    <t>Livechat.com</t>
  </si>
  <si>
    <t>An all-in-one platform to build and launch conversational chatbots without coding</t>
  </si>
  <si>
    <t>UpPromote</t>
  </si>
  <si>
    <t>Drive growth and boost loyalty with an all-in-one app for building affiliate &amp; referral program</t>
  </si>
  <si>
    <t>Referral Candy</t>
  </si>
  <si>
    <t>See your sales grow through customer referrals</t>
  </si>
  <si>
    <t>Vitals</t>
  </si>
  <si>
    <t>The All-in-One Conversion Marketing app: Reviews, Upsells, Bundles, Replays, Pop-Ups, and 40+ more</t>
  </si>
  <si>
    <t>ViralSweep</t>
  </si>
  <si>
    <t>The Viral Marketing Platform. Grow your email &amp; SMS list, increase engagement, and generate sales.</t>
  </si>
  <si>
    <t>OctaneAI</t>
  </si>
  <si>
    <t>Unlock The Power Of Personalized Product Recommendations. Use Quiz AI to Build Quizzes in Minutes.</t>
  </si>
  <si>
    <t>Free Gifts</t>
  </si>
  <si>
    <t>Turn your store's visitors into customers by motivating purchases with a free gift offer!</t>
  </si>
  <si>
    <t>Currency Switcher</t>
  </si>
  <si>
    <t>Allow customers to buy and checkout in their local currencies.</t>
  </si>
  <si>
    <t>Spin to Win Popup</t>
  </si>
  <si>
    <t>Create your amaing pop-ups in just minutes. Build your email list and increase your sales. Keep your customers on your site and increase your customer loyalty.</t>
  </si>
  <si>
    <t>Fiverr</t>
  </si>
  <si>
    <t>Fiverr connects businesses with freelancers offering digital services in 500+ categories</t>
  </si>
  <si>
    <t>Tidio</t>
  </si>
  <si>
    <t>Win your customers’ hearts with exceptional service.Boost your conversions with automation and AI. Answer questions in real-time, 24/7. And so much more.</t>
  </si>
  <si>
    <t>1Password</t>
  </si>
  <si>
    <t>Scalable, secure password management trusted by over 100,000 businesses</t>
  </si>
  <si>
    <t>Octane AI</t>
  </si>
  <si>
    <t>Revealbot</t>
  </si>
  <si>
    <t>Revealbot automates your ad management routine so you can focus on reaching results, faster.</t>
  </si>
  <si>
    <t>Time Doctor</t>
  </si>
  <si>
    <t>Employee-friendly time tracking and productivity insights that enable teams to do their best work.</t>
  </si>
  <si>
    <t>Typeform</t>
  </si>
  <si>
    <t>Create forms, surveys, and quizzes that people enjoy answering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</si>
</sst>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color rgb="FFFBE202"/>
      <name val="Lato"/>
    </font>
    <font>
      <sz val="28.0"/>
      <color rgb="FF0000FF"/>
      <name val="Lato"/>
    </font>
    <font>
      <color theme="1"/>
      <name val="Lato"/>
    </font>
    <font>
      <b/>
      <sz val="11.0"/>
      <color rgb="FFFFFFFF"/>
      <name val="Lato"/>
    </font>
    <font>
      <color rgb="FFFFFFFF"/>
      <name val="Lato"/>
    </font>
    <font>
      <b/>
      <color rgb="FF0000FF"/>
      <name val="Lato"/>
    </font>
    <font>
      <u/>
      <sz val="10.0"/>
      <color rgb="FF1155CC"/>
      <name val="Lato"/>
    </font>
    <font>
      <b/>
      <color rgb="FF1155CC"/>
      <name val="Lato"/>
    </font>
    <font>
      <u/>
      <sz val="10.0"/>
      <color rgb="FF1155CC"/>
      <name val="Lato"/>
    </font>
    <font>
      <sz val="11.0"/>
      <color rgb="FFFFFFFF"/>
      <name val="Lato"/>
    </font>
    <font>
      <u/>
      <sz val="10.0"/>
      <color rgb="FF0000FF"/>
      <name val="Lato"/>
    </font>
    <font>
      <u/>
      <sz val="10.0"/>
      <color rgb="FF0000FF"/>
      <name val="Lato"/>
    </font>
    <font>
      <sz val="28.0"/>
      <color rgb="FFFBE202"/>
      <name val="Lato"/>
    </font>
    <font>
      <sz val="11.0"/>
      <color theme="1"/>
      <name val="Lato"/>
    </font>
    <font>
      <b/>
      <sz val="11.0"/>
      <color theme="1"/>
      <name val="Lato"/>
    </font>
    <font>
      <u/>
      <sz val="10.0"/>
      <color rgb="FF0000FF"/>
      <name val="Lato"/>
    </font>
    <font>
      <sz val="10.0"/>
      <color theme="1"/>
      <name val="Lato"/>
    </font>
    <font>
      <u/>
      <sz val="10.0"/>
      <color rgb="FF0000FF"/>
      <name val="Lato"/>
    </font>
    <font>
      <u/>
      <sz val="10.0"/>
      <color rgb="FF0000FF"/>
      <name val="Lato"/>
    </font>
    <font>
      <u/>
      <sz val="9.0"/>
      <color rgb="FF0000FF"/>
      <name val="Arial"/>
    </font>
    <font>
      <u/>
      <sz val="10.0"/>
      <color rgb="FF1155CC"/>
      <name val="Lato"/>
    </font>
    <font>
      <u/>
      <sz val="10.0"/>
      <color rgb="FF1155CC"/>
      <name val="Lato"/>
    </font>
    <font>
      <u/>
      <sz val="9.0"/>
      <color rgb="FF0000FF"/>
      <name val="Arial"/>
    </font>
    <font>
      <u/>
      <sz val="9.0"/>
      <color rgb="FF0000FF"/>
      <name val="Arial"/>
    </font>
    <font>
      <u/>
      <sz val="10.0"/>
      <color rgb="FF1155CC"/>
      <name val="Lato"/>
    </font>
    <font>
      <u/>
      <sz val="10.0"/>
      <color rgb="FF1155CC"/>
      <name val="Lato"/>
    </font>
    <font>
      <color theme="1"/>
      <name val="Arial"/>
      <scheme val="minor"/>
    </font>
    <font>
      <b/>
      <sz val="11.0"/>
      <color rgb="FF180C56"/>
      <name val="Lato"/>
    </font>
    <font>
      <b/>
      <u/>
      <sz val="11.0"/>
      <color rgb="FF1155CC"/>
      <name val="Lato"/>
    </font>
    <font>
      <color theme="1"/>
      <name val="Arial"/>
    </font>
    <font>
      <b/>
      <sz val="13.0"/>
      <color theme="1"/>
      <name val="Lato"/>
    </font>
    <font>
      <b/>
      <sz val="13.0"/>
      <name val="La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BCB75"/>
        <bgColor rgb="FFFBCB75"/>
      </patternFill>
    </fill>
    <fill>
      <patternFill patternType="solid">
        <fgColor rgb="FFFBE202"/>
        <bgColor rgb="FFFBE202"/>
      </patternFill>
    </fill>
  </fills>
  <borders count="48">
    <border/>
    <border>
      <left style="thin">
        <color rgb="FF180C56"/>
      </left>
      <right style="thin">
        <color rgb="FF180C56"/>
      </right>
      <top style="thin">
        <color rgb="FF180C56"/>
      </top>
      <bottom style="thin">
        <color rgb="FF180C56"/>
      </bottom>
    </border>
    <border>
      <left style="thin">
        <color rgb="FF180C56"/>
      </left>
      <right style="thin">
        <color rgb="FF180C56"/>
      </right>
      <bottom style="thin">
        <color rgb="FFCCCCCC"/>
      </bottom>
    </border>
    <border>
      <left style="thin">
        <color rgb="FFC9C9CB"/>
      </left>
      <right style="thin">
        <color rgb="FF180C56"/>
      </right>
      <bottom style="thin">
        <color rgb="FFC9C9CB"/>
      </bottom>
    </border>
    <border>
      <left style="thin">
        <color rgb="FF180C56"/>
      </left>
      <right style="thin">
        <color rgb="FF180C56"/>
      </right>
      <top style="thin">
        <color rgb="FFCCCCCC"/>
      </top>
      <bottom style="thin">
        <color rgb="FFCCCCCC"/>
      </bottom>
    </border>
    <border>
      <left style="thin">
        <color rgb="FF180C56"/>
      </left>
      <right style="thin">
        <color rgb="FF180C56"/>
      </right>
      <top style="thin">
        <color rgb="FFCCCCCC"/>
      </top>
    </border>
    <border>
      <left style="thin">
        <color rgb="FFC9C9CB"/>
      </left>
      <right style="thin">
        <color rgb="FF180C56"/>
      </right>
      <bottom style="thin">
        <color rgb="FF180C56"/>
      </bottom>
    </border>
    <border>
      <left style="thin">
        <color rgb="FF180C56"/>
      </left>
      <top style="thin">
        <color rgb="FF180C56"/>
      </top>
      <bottom style="thin">
        <color rgb="FF180C56"/>
      </bottom>
    </border>
    <border>
      <top style="thin">
        <color rgb="FF180C56"/>
      </top>
      <bottom style="thin">
        <color rgb="FF180C56"/>
      </bottom>
    </border>
    <border>
      <right style="thin">
        <color rgb="FF180C56"/>
      </right>
      <top style="thin">
        <color rgb="FF180C56"/>
      </top>
      <bottom style="thin">
        <color rgb="FF180C56"/>
      </bottom>
    </border>
    <border>
      <top style="thin">
        <color rgb="FFCCCCCC"/>
      </top>
      <bottom style="thin">
        <color rgb="FFCCCCCC"/>
      </bottom>
    </border>
    <border>
      <right style="thin">
        <color rgb="FF180C56"/>
      </right>
      <top style="thin">
        <color rgb="FFCCCCCC"/>
      </top>
      <bottom style="thin">
        <color rgb="FFCCCCCC"/>
      </bottom>
    </border>
    <border>
      <left style="thin">
        <color rgb="FF180C56"/>
      </left>
      <right style="thin">
        <color rgb="FF180C56"/>
      </right>
      <top style="thin">
        <color rgb="FF180C56"/>
      </top>
      <bottom style="thin">
        <color rgb="FFCCCCCC"/>
      </bottom>
    </border>
    <border>
      <top style="thin">
        <color rgb="FF180C56"/>
      </top>
      <bottom style="thin">
        <color rgb="FFCCCCCC"/>
      </bottom>
    </border>
    <border>
      <right style="thin">
        <color rgb="FF180C56"/>
      </right>
      <top style="thin">
        <color rgb="FF180C56"/>
      </top>
      <bottom style="thin">
        <color rgb="FFCCCCCC"/>
      </bottom>
    </border>
    <border>
      <left style="thin">
        <color rgb="FF180C56"/>
      </left>
      <right style="thin">
        <color rgb="FF180C56"/>
      </right>
      <top style="thin">
        <color rgb="FFCCCCCC"/>
      </top>
      <bottom style="thin">
        <color rgb="FF180C56"/>
      </bottom>
    </border>
    <border>
      <top style="thin">
        <color rgb="FFCCCCCC"/>
      </top>
      <bottom style="thin">
        <color rgb="FF180C56"/>
      </bottom>
    </border>
    <border>
      <right style="thin">
        <color rgb="FF180C56"/>
      </right>
      <top style="thin">
        <color rgb="FFCCCCCC"/>
      </top>
      <bottom style="thin">
        <color rgb="FF180C56"/>
      </bottom>
    </border>
    <border>
      <left style="thin">
        <color rgb="FF180C56"/>
      </left>
      <right style="thin">
        <color rgb="FF180C56"/>
      </right>
      <top style="thin">
        <color rgb="FF180C56"/>
      </top>
    </border>
    <border>
      <left style="thin">
        <color rgb="FF180C56"/>
      </left>
      <right style="thin">
        <color rgb="FFC9C9CB"/>
      </right>
      <bottom style="thin">
        <color rgb="FFC9C9CB"/>
      </bottom>
    </border>
    <border>
      <left style="thin">
        <color rgb="FFC9C9CB"/>
      </left>
      <right style="thin">
        <color rgb="FFC9C9CB"/>
      </right>
      <bottom style="thin">
        <color rgb="FFC9C9CB"/>
      </bottom>
    </border>
    <border>
      <left style="thin">
        <color rgb="FF180C56"/>
      </left>
      <right style="thin">
        <color rgb="FFC9C9CB"/>
      </right>
      <top style="thin">
        <color rgb="FFC9C9CB"/>
      </top>
      <bottom style="thin">
        <color rgb="FFC9C9CB"/>
      </bottom>
    </border>
    <border>
      <left style="thin">
        <color rgb="FFC9C9CB"/>
      </left>
      <right style="thin">
        <color rgb="FFC9C9CB"/>
      </right>
      <top style="thin">
        <color rgb="FFC9C9CB"/>
      </top>
      <bottom style="thin">
        <color rgb="FFC9C9CB"/>
      </bottom>
    </border>
    <border>
      <left style="thin">
        <color rgb="FF180C56"/>
      </left>
      <right style="thin">
        <color rgb="FFC9C9CB"/>
      </right>
      <top style="thin">
        <color rgb="FFC9C9CB"/>
      </top>
      <bottom style="thin">
        <color rgb="FF180C56"/>
      </bottom>
    </border>
    <border>
      <left style="thin">
        <color rgb="FFC9C9CB"/>
      </left>
      <right style="thin">
        <color rgb="FFC9C9CB"/>
      </right>
      <top style="thin">
        <color rgb="FFC9C9CB"/>
      </top>
      <bottom style="thin">
        <color rgb="FF180C56"/>
      </bottom>
    </border>
    <border>
      <left style="thin">
        <color rgb="FFE7E7E7"/>
      </left>
      <right style="thin">
        <color rgb="FFE7E7E7"/>
      </right>
      <bottom style="thin">
        <color rgb="FFE7E7E7"/>
      </bottom>
    </border>
    <border>
      <left style="thin">
        <color rgb="FFC9C9CB"/>
      </left>
      <right style="thin">
        <color rgb="FFC9C9CB"/>
      </right>
      <bottom style="thin">
        <color rgb="FF180C56"/>
      </bottom>
    </border>
    <border>
      <right style="thin">
        <color rgb="FFE7E7E7"/>
      </right>
      <bottom style="thin">
        <color rgb="FFE7E7E7"/>
      </bottom>
    </border>
    <border>
      <left style="thin">
        <color rgb="FF180C56"/>
      </left>
      <right style="thin">
        <color rgb="FFC9C9CB"/>
      </right>
      <bottom style="thin">
        <color rgb="FF180C56"/>
      </bottom>
    </border>
    <border>
      <left style="thin">
        <color rgb="FF180C56"/>
      </left>
      <top style="thin">
        <color rgb="FF180C56"/>
      </top>
    </border>
    <border>
      <top style="thin">
        <color rgb="FF180C56"/>
      </top>
    </border>
    <border>
      <right style="thin">
        <color rgb="FF180C56"/>
      </right>
      <top style="thin">
        <color rgb="FF180C56"/>
      </top>
    </border>
    <border>
      <left style="thin">
        <color rgb="FF180C56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180C56"/>
      </right>
      <top style="thin">
        <color rgb="FF000000"/>
      </top>
      <bottom style="thin">
        <color rgb="FF000000"/>
      </bottom>
    </border>
    <border>
      <left style="thin">
        <color rgb="FF180C56"/>
      </left>
      <bottom style="thin">
        <color rgb="FFCCCCCC"/>
      </bottom>
    </border>
    <border>
      <bottom style="thin">
        <color rgb="FF000000"/>
      </bottom>
    </border>
    <border>
      <right style="thin">
        <color rgb="FF180C56"/>
      </right>
      <bottom style="thin">
        <color rgb="FF000000"/>
      </bottom>
    </border>
    <border>
      <left style="thin">
        <color rgb="FF180C56"/>
      </left>
      <top style="thin">
        <color rgb="FFCCCCCC"/>
      </top>
      <bottom style="thin">
        <color rgb="FF180C56"/>
      </bottom>
    </border>
    <border>
      <bottom style="thin">
        <color rgb="FF180C56"/>
      </bottom>
    </border>
    <border>
      <right style="thin">
        <color rgb="FF180C56"/>
      </right>
      <bottom style="thin">
        <color rgb="FF180C56"/>
      </bottom>
    </border>
    <border>
      <top style="thin">
        <color rgb="FFCCCCCC"/>
      </top>
      <bottom style="thin">
        <color rgb="FF000000"/>
      </bottom>
    </border>
    <border>
      <right style="thin">
        <color rgb="FF180C56"/>
      </right>
      <top style="thin">
        <color rgb="FFCCCCCC"/>
      </top>
      <bottom style="thin">
        <color rgb="FF000000"/>
      </bottom>
    </border>
    <border>
      <left style="thin">
        <color rgb="FF180C56"/>
      </left>
    </border>
    <border>
      <left style="thin">
        <color rgb="FF180C56"/>
      </left>
      <top style="thin">
        <color rgb="FF180C56"/>
      </top>
      <bottom style="thin">
        <color rgb="FFCCCCCC"/>
      </bottom>
    </border>
    <border>
      <top style="thin">
        <color rgb="FF180C56"/>
      </top>
      <bottom style="thin">
        <color rgb="FF000000"/>
      </bottom>
    </border>
    <border>
      <right style="thin">
        <color rgb="FF180C56"/>
      </right>
      <top style="thin">
        <color rgb="FF180C56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shrinkToFit="0" vertical="center" wrapText="0"/>
    </xf>
    <xf borderId="0" fillId="2" fontId="2" numFmtId="0" xfId="0" applyAlignment="1" applyFont="1">
      <alignment horizontal="left" readingOrder="0" vertical="center"/>
    </xf>
    <xf borderId="0" fillId="2" fontId="1" numFmtId="0" xfId="0" applyAlignment="1" applyFont="1">
      <alignment vertical="center"/>
    </xf>
    <xf borderId="0" fillId="2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readingOrder="0" shrinkToFit="0" vertical="top" wrapText="1"/>
    </xf>
    <xf borderId="0" fillId="3" fontId="5" numFmtId="0" xfId="0" applyAlignment="1" applyFont="1">
      <alignment shrinkToFit="0" vertical="center" wrapText="1"/>
    </xf>
    <xf borderId="2" fillId="0" fontId="3" numFmtId="0" xfId="0" applyAlignment="1" applyBorder="1" applyFont="1">
      <alignment vertical="center"/>
    </xf>
    <xf borderId="2" fillId="0" fontId="6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10" xfId="0" applyAlignment="1" applyBorder="1" applyFont="1" applyNumberFormat="1">
      <alignment horizontal="center" vertical="center"/>
    </xf>
    <xf borderId="2" fillId="0" fontId="3" numFmtId="10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vertical="center"/>
    </xf>
    <xf borderId="4" fillId="0" fontId="6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10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readingOrder="0" vertical="center"/>
    </xf>
    <xf borderId="5" fillId="0" fontId="3" numFmtId="0" xfId="0" applyAlignment="1" applyBorder="1" applyFont="1">
      <alignment vertical="center"/>
    </xf>
    <xf borderId="5" fillId="0" fontId="6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center" vertical="center"/>
    </xf>
    <xf borderId="5" fillId="0" fontId="3" numFmtId="10" xfId="0" applyAlignment="1" applyBorder="1" applyFont="1" applyNumberFormat="1">
      <alignment horizontal="center" vertical="center"/>
    </xf>
    <xf borderId="5" fillId="0" fontId="3" numFmtId="10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1" fillId="3" fontId="10" numFmtId="0" xfId="0" applyAlignment="1" applyBorder="1" applyFont="1">
      <alignment vertical="center"/>
    </xf>
    <xf borderId="1" fillId="3" fontId="4" numFmtId="0" xfId="0" applyAlignment="1" applyBorder="1" applyFont="1">
      <alignment readingOrder="0" vertical="center"/>
    </xf>
    <xf borderId="1" fillId="3" fontId="4" numFmtId="0" xfId="0" applyAlignment="1" applyBorder="1" applyFont="1">
      <alignment horizontal="center" vertical="center"/>
    </xf>
    <xf borderId="1" fillId="3" fontId="4" numFmtId="10" xfId="0" applyAlignment="1" applyBorder="1" applyFont="1" applyNumberFormat="1">
      <alignment horizontal="center" vertical="center"/>
    </xf>
    <xf borderId="1" fillId="3" fontId="10" numFmtId="10" xfId="0" applyAlignment="1" applyBorder="1" applyFont="1" applyNumberFormat="1">
      <alignment horizontal="center" vertical="center"/>
    </xf>
    <xf borderId="1" fillId="3" fontId="10" numFmtId="0" xfId="0" applyAlignment="1" applyBorder="1" applyFont="1">
      <alignment horizontal="center" vertical="center"/>
    </xf>
    <xf borderId="0" fillId="3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7" fillId="3" fontId="4" numFmtId="0" xfId="0" applyAlignment="1" applyBorder="1" applyFont="1">
      <alignment horizontal="left" readingOrder="0" shrinkToFit="0" vertical="center" wrapText="0"/>
    </xf>
    <xf borderId="8" fillId="3" fontId="5" numFmtId="0" xfId="0" applyAlignment="1" applyBorder="1" applyFont="1">
      <alignment vertical="center"/>
    </xf>
    <xf borderId="9" fillId="3" fontId="5" numFmtId="0" xfId="0" applyAlignment="1" applyBorder="1" applyFont="1">
      <alignment vertical="center"/>
    </xf>
    <xf borderId="4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3" fillId="0" fontId="11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 vertical="center"/>
    </xf>
    <xf borderId="13" fillId="0" fontId="3" numFmtId="0" xfId="0" applyAlignment="1" applyBorder="1" applyFont="1">
      <alignment readingOrder="0"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readingOrder="0" vertical="center"/>
    </xf>
    <xf borderId="16" fillId="0" fontId="3" numFmtId="0" xfId="0" applyAlignment="1" applyBorder="1" applyFont="1">
      <alignment readingOrder="0"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6" fillId="0" fontId="12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right" readingOrder="0" vertical="center"/>
    </xf>
    <xf borderId="18" fillId="3" fontId="4" numFmtId="0" xfId="0" applyAlignment="1" applyBorder="1" applyFont="1">
      <alignment horizontal="center" readingOrder="0" shrinkToFit="0" vertical="top" wrapText="1"/>
    </xf>
    <xf borderId="18" fillId="3" fontId="4" numFmtId="0" xfId="0" applyAlignment="1" applyBorder="1" applyFont="1">
      <alignment horizontal="left" readingOrder="0" shrinkToFit="0" vertical="top" wrapText="0"/>
    </xf>
    <xf borderId="18" fillId="3" fontId="4" numFmtId="0" xfId="0" applyAlignment="1" applyBorder="1" applyFont="1">
      <alignment horizontal="center" shrinkToFit="0" vertical="top" wrapText="1"/>
    </xf>
    <xf borderId="0" fillId="3" fontId="10" numFmtId="0" xfId="0" applyAlignment="1" applyFont="1">
      <alignment shrinkToFit="0" vertical="top" wrapText="1"/>
    </xf>
    <xf borderId="7" fillId="4" fontId="14" numFmtId="0" xfId="0" applyAlignment="1" applyBorder="1" applyFill="1" applyFont="1">
      <alignment horizontal="center" readingOrder="0" vertical="center"/>
    </xf>
    <xf borderId="8" fillId="4" fontId="15" numFmtId="0" xfId="0" applyAlignment="1" applyBorder="1" applyFont="1">
      <alignment readingOrder="0" shrinkToFit="0" vertical="center" wrapText="0"/>
    </xf>
    <xf borderId="8" fillId="4" fontId="14" numFmtId="0" xfId="0" applyAlignment="1" applyBorder="1" applyFont="1">
      <alignment horizontal="center" vertical="center"/>
    </xf>
    <xf borderId="8" fillId="4" fontId="14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19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readingOrder="0" shrinkToFit="0" vertical="center" wrapText="0"/>
    </xf>
    <xf borderId="20" fillId="0" fontId="16" numFmtId="0" xfId="0" applyAlignment="1" applyBorder="1" applyFont="1">
      <alignment horizontal="center" readingOrder="0" vertical="center"/>
    </xf>
    <xf borderId="20" fillId="0" fontId="17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20" fillId="0" fontId="17" numFmtId="0" xfId="0" applyAlignment="1" applyBorder="1" applyFont="1">
      <alignment vertical="center"/>
    </xf>
    <xf borderId="21" fillId="0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readingOrder="0" shrinkToFit="0" vertical="center" wrapText="0"/>
    </xf>
    <xf borderId="22" fillId="0" fontId="17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horizontal="center" readingOrder="0" vertical="center"/>
    </xf>
    <xf borderId="22" fillId="0" fontId="17" numFmtId="0" xfId="0" applyAlignment="1" applyBorder="1" applyFont="1">
      <alignment vertical="center"/>
    </xf>
    <xf borderId="22" fillId="0" fontId="18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readingOrder="0" shrinkToFit="0" vertical="center" wrapText="0"/>
    </xf>
    <xf borderId="24" fillId="0" fontId="19" numFmtId="0" xfId="0" applyAlignment="1" applyBorder="1" applyFont="1">
      <alignment horizontal="center" readingOrder="0" vertical="center"/>
    </xf>
    <xf borderId="24" fillId="0" fontId="17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readingOrder="0" vertical="center"/>
    </xf>
    <xf borderId="24" fillId="0" fontId="17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25" fillId="0" fontId="20" numFmtId="0" xfId="0" applyAlignment="1" applyBorder="1" applyFont="1">
      <alignment horizontal="center" readingOrder="0" shrinkToFit="0" vertical="bottom" wrapText="0"/>
    </xf>
    <xf borderId="20" fillId="0" fontId="21" numFmtId="0" xfId="0" applyAlignment="1" applyBorder="1" applyFont="1">
      <alignment horizontal="center" vertical="center"/>
    </xf>
    <xf borderId="26" fillId="0" fontId="22" numFmtId="0" xfId="0" applyAlignment="1" applyBorder="1" applyFont="1">
      <alignment horizontal="center" vertical="center"/>
    </xf>
    <xf borderId="25" fillId="2" fontId="23" numFmtId="0" xfId="0" applyAlignment="1" applyBorder="1" applyFont="1">
      <alignment horizontal="center" readingOrder="0" shrinkToFit="0" vertical="bottom" wrapText="0"/>
    </xf>
    <xf borderId="27" fillId="0" fontId="24" numFmtId="0" xfId="0" applyAlignment="1" applyBorder="1" applyFont="1">
      <alignment horizontal="center" readingOrder="0" shrinkToFit="0" vertical="bottom" wrapText="0"/>
    </xf>
    <xf borderId="7" fillId="4" fontId="14" numFmtId="0" xfId="0" applyAlignment="1" applyBorder="1" applyFont="1">
      <alignment horizontal="center" vertical="center"/>
    </xf>
    <xf borderId="8" fillId="4" fontId="15" numFmtId="0" xfId="0" applyAlignment="1" applyBorder="1" applyFont="1">
      <alignment shrinkToFit="0" vertical="center" wrapText="0"/>
    </xf>
    <xf borderId="22" fillId="0" fontId="3" numFmtId="0" xfId="0" applyAlignment="1" applyBorder="1" applyFont="1">
      <alignment shrinkToFit="0" vertical="center" wrapText="0"/>
    </xf>
    <xf borderId="22" fillId="0" fontId="3" numFmtId="0" xfId="0" applyAlignment="1" applyBorder="1" applyFont="1">
      <alignment horizontal="center" vertical="center"/>
    </xf>
    <xf borderId="22" fillId="0" fontId="25" numFmtId="0" xfId="0" applyAlignment="1" applyBorder="1" applyFont="1">
      <alignment horizontal="center" vertical="center"/>
    </xf>
    <xf borderId="24" fillId="0" fontId="26" numFmtId="0" xfId="0" applyAlignment="1" applyBorder="1" applyFont="1">
      <alignment horizontal="center" vertical="center"/>
    </xf>
    <xf borderId="8" fillId="4" fontId="14" numFmtId="0" xfId="0" applyAlignment="1" applyBorder="1" applyFont="1">
      <alignment horizontal="center" readingOrder="0" vertical="center"/>
    </xf>
    <xf borderId="0" fillId="0" fontId="27" numFmtId="0" xfId="0" applyAlignment="1" applyFont="1">
      <alignment readingOrder="0"/>
    </xf>
    <xf borderId="28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horizontal="center" vertical="center"/>
    </xf>
    <xf borderId="1" fillId="5" fontId="28" numFmtId="0" xfId="0" applyAlignment="1" applyBorder="1" applyFill="1" applyFont="1">
      <alignment horizontal="center" shrinkToFit="0" vertical="top" wrapText="1"/>
    </xf>
    <xf borderId="8" fillId="5" fontId="29" numFmtId="0" xfId="0" applyAlignment="1" applyBorder="1" applyFont="1">
      <alignment shrinkToFit="0" vertical="top" wrapText="0"/>
    </xf>
    <xf borderId="8" fillId="5" fontId="30" numFmtId="0" xfId="0" applyBorder="1" applyFont="1"/>
    <xf borderId="9" fillId="5" fontId="30" numFmtId="0" xfId="0" applyBorder="1" applyFont="1"/>
    <xf borderId="9" fillId="5" fontId="28" numFmtId="0" xfId="0" applyAlignment="1" applyBorder="1" applyFont="1">
      <alignment horizontal="center" shrinkToFit="0" vertical="top" wrapText="1"/>
    </xf>
    <xf borderId="0" fillId="0" fontId="30" numFmtId="0" xfId="0" applyFont="1"/>
    <xf borderId="3" fillId="0" fontId="17" numFmtId="0" xfId="0" applyAlignment="1" applyBorder="1" applyFont="1">
      <alignment horizontal="center" readingOrder="0" vertical="center"/>
    </xf>
    <xf borderId="29" fillId="3" fontId="4" numFmtId="0" xfId="0" applyAlignment="1" applyBorder="1" applyFont="1">
      <alignment horizontal="left" readingOrder="0" shrinkToFit="0" vertical="center" wrapText="0"/>
    </xf>
    <xf borderId="30" fillId="3" fontId="5" numFmtId="0" xfId="0" applyAlignment="1" applyBorder="1" applyFont="1">
      <alignment vertical="center"/>
    </xf>
    <xf borderId="31" fillId="3" fontId="5" numFmtId="0" xfId="0" applyAlignment="1" applyBorder="1" applyFont="1">
      <alignment vertical="center"/>
    </xf>
    <xf borderId="32" fillId="0" fontId="3" numFmtId="0" xfId="0" applyAlignment="1" applyBorder="1" applyFont="1">
      <alignment readingOrder="0" vertical="center"/>
    </xf>
    <xf borderId="33" fillId="0" fontId="31" numFmtId="0" xfId="0" applyAlignment="1" applyBorder="1" applyFont="1">
      <alignment readingOrder="0" vertical="center"/>
    </xf>
    <xf borderId="34" fillId="0" fontId="3" numFmtId="0" xfId="0" applyAlignment="1" applyBorder="1" applyFont="1">
      <alignment vertical="center"/>
    </xf>
    <xf borderId="34" fillId="0" fontId="3" numFmtId="0" xfId="0" applyAlignment="1" applyBorder="1" applyFont="1">
      <alignment readingOrder="0" vertical="center"/>
    </xf>
    <xf borderId="35" fillId="0" fontId="3" numFmtId="0" xfId="0" applyAlignment="1" applyBorder="1" applyFont="1">
      <alignment vertical="center"/>
    </xf>
    <xf borderId="29" fillId="0" fontId="3" numFmtId="0" xfId="0" applyAlignment="1" applyBorder="1" applyFont="1">
      <alignment readingOrder="0" vertical="center"/>
    </xf>
    <xf borderId="36" fillId="0" fontId="3" numFmtId="0" xfId="0" applyAlignment="1" applyBorder="1" applyFont="1">
      <alignment readingOrder="0" vertical="center"/>
    </xf>
    <xf borderId="33" fillId="0" fontId="32" numFmtId="0" xfId="0" applyAlignment="1" applyBorder="1" applyFont="1">
      <alignment readingOrder="0" vertical="center"/>
    </xf>
    <xf borderId="37" fillId="0" fontId="3" numFmtId="0" xfId="0" applyAlignment="1" applyBorder="1" applyFont="1">
      <alignment vertical="center"/>
    </xf>
    <xf borderId="37" fillId="0" fontId="3" numFmtId="0" xfId="0" applyAlignment="1" applyBorder="1" applyFont="1">
      <alignment readingOrder="0" vertical="center"/>
    </xf>
    <xf borderId="38" fillId="0" fontId="3" numFmtId="0" xfId="0" applyAlignment="1" applyBorder="1" applyFont="1">
      <alignment vertical="center"/>
    </xf>
    <xf borderId="39" fillId="0" fontId="3" numFmtId="0" xfId="0" applyAlignment="1" applyBorder="1" applyFont="1">
      <alignment readingOrder="0" vertical="center"/>
    </xf>
    <xf borderId="40" fillId="0" fontId="3" numFmtId="0" xfId="0" applyAlignment="1" applyBorder="1" applyFont="1">
      <alignment vertical="center"/>
    </xf>
    <xf borderId="40" fillId="0" fontId="3" numFmtId="0" xfId="0" applyAlignment="1" applyBorder="1" applyFont="1">
      <alignment readingOrder="0" vertical="center"/>
    </xf>
    <xf borderId="41" fillId="0" fontId="3" numFmtId="0" xfId="0" applyAlignment="1" applyBorder="1" applyFont="1">
      <alignment vertical="center"/>
    </xf>
    <xf borderId="42" fillId="0" fontId="3" numFmtId="0" xfId="0" applyAlignment="1" applyBorder="1" applyFont="1">
      <alignment vertical="center"/>
    </xf>
    <xf borderId="42" fillId="0" fontId="3" numFmtId="0" xfId="0" applyAlignment="1" applyBorder="1" applyFont="1">
      <alignment readingOrder="0" vertical="center"/>
    </xf>
    <xf borderId="43" fillId="0" fontId="3" numFmtId="0" xfId="0" applyAlignment="1" applyBorder="1" applyFont="1">
      <alignment vertical="center"/>
    </xf>
    <xf borderId="44" fillId="3" fontId="4" numFmtId="0" xfId="0" applyAlignment="1" applyBorder="1" applyFont="1">
      <alignment horizontal="left" readingOrder="0" shrinkToFit="0" vertical="center" wrapText="0"/>
    </xf>
    <xf borderId="40" fillId="3" fontId="5" numFmtId="0" xfId="0" applyAlignment="1" applyBorder="1" applyFont="1">
      <alignment vertical="center"/>
    </xf>
    <xf borderId="41" fillId="3" fontId="5" numFmtId="0" xfId="0" applyAlignment="1" applyBorder="1" applyFont="1">
      <alignment vertical="center"/>
    </xf>
    <xf borderId="45" fillId="0" fontId="3" numFmtId="0" xfId="0" applyAlignment="1" applyBorder="1" applyFont="1">
      <alignment readingOrder="0" vertical="center"/>
    </xf>
    <xf borderId="33" fillId="0" fontId="3" numFmtId="0" xfId="0" applyAlignment="1" applyBorder="1" applyFont="1">
      <alignment readingOrder="0" vertical="center"/>
    </xf>
    <xf borderId="46" fillId="0" fontId="3" numFmtId="0" xfId="0" applyAlignment="1" applyBorder="1" applyFont="1">
      <alignment vertical="center"/>
    </xf>
    <xf borderId="46" fillId="0" fontId="3" numFmtId="0" xfId="0" applyAlignment="1" applyBorder="1" applyFont="1">
      <alignment readingOrder="0" vertical="center"/>
    </xf>
    <xf borderId="47" fillId="0" fontId="3" numFmtId="0" xfId="0" applyAlignment="1" applyBorder="1" applyFont="1">
      <alignment vertical="center"/>
    </xf>
    <xf borderId="33" fillId="0" fontId="3" numFmtId="0" xfId="0" applyAlignment="1" applyBorder="1" applyFont="1">
      <alignment readingOrder="0" vertical="center"/>
    </xf>
    <xf borderId="33" fillId="0" fontId="27" numFmtId="0" xfId="0" applyAlignment="1" applyBorder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>
        <strike/>
      </font>
      <fill>
        <patternFill patternType="solid">
          <fgColor rgb="FFE7F9EF"/>
          <bgColor rgb="FFE7F9EF"/>
        </patternFill>
      </fill>
      <border/>
    </dxf>
    <dxf>
      <font>
        <b/>
        <color rgb="FF34A853"/>
      </font>
      <fill>
        <patternFill patternType="solid">
          <fgColor rgb="FFE7E7E7"/>
          <bgColor rgb="FFE7E7E7"/>
        </patternFill>
      </fill>
      <border/>
    </dxf>
    <dxf>
      <font>
        <b/>
        <color rgb="FFCC4125"/>
      </font>
      <fill>
        <patternFill patternType="none"/>
      </fill>
      <border/>
    </dxf>
    <dxf>
      <font>
        <b/>
        <color rgb="FFE9901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1543050" cy="638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QeXg6EOZEqvZIqefSEPuz9jpdaMtsTFdaZ6dqYBCZXE/edit?usp=sharing" TargetMode="External"/><Relationship Id="rId42" Type="http://schemas.openxmlformats.org/officeDocument/2006/relationships/hyperlink" Target="https://docs.google.com/document/d/1DJLXsAMTzVc4x2z0fVQLgfGKs2R3fFY-kZyhYxZH7aY/edit?usp=sharing" TargetMode="External"/><Relationship Id="rId41" Type="http://schemas.openxmlformats.org/officeDocument/2006/relationships/hyperlink" Target="https://docs.google.com/document/d/1h689i-WUjeKs6Qmrs5lpSmK0KZcBr1io2fkKPLM-jGk/edit?usp=sharing" TargetMode="External"/><Relationship Id="rId44" Type="http://schemas.openxmlformats.org/officeDocument/2006/relationships/hyperlink" Target="https://docs.google.com/document/d/18i_OEYRL-5ZN_O3jexfsJu3VkLKFg9sfUe9e0-sfEUY/edit?usp=sharing" TargetMode="External"/><Relationship Id="rId43" Type="http://schemas.openxmlformats.org/officeDocument/2006/relationships/hyperlink" Target="https://docs.google.com/document/d/1bPMAnAroDMGgfJ_BB7X0HlwjYVnn57dh8jQy8z-faJk/edit?usp=sharing" TargetMode="External"/><Relationship Id="rId46" Type="http://schemas.openxmlformats.org/officeDocument/2006/relationships/hyperlink" Target="https://docs.google.com/document/d/12ym8UPKsA90MB7wzinDzs8rsIA37ACLzxQ9EHk73oSs/edit?usp=sharing" TargetMode="External"/><Relationship Id="rId45" Type="http://schemas.openxmlformats.org/officeDocument/2006/relationships/hyperlink" Target="https://docs.google.com/document/d/1th2l2MuKysj0EnEumhJtTj7YSnR8QSTVK1kNqBYRoOE/edit?usp=sharing" TargetMode="External"/><Relationship Id="rId1" Type="http://schemas.openxmlformats.org/officeDocument/2006/relationships/hyperlink" Target="https://docs.google.com/document/d/1aggs8OXkcWxYOgDzeVEdkOZEupqmQvcj2UfGaSMxHlI/edit" TargetMode="External"/><Relationship Id="rId2" Type="http://schemas.openxmlformats.org/officeDocument/2006/relationships/hyperlink" Target="https://docs.google.com/document/u/0/d/1ThdKLB8NWtVnZy5_1FxftdrANykgc98Jhqf1P92p__A/edit" TargetMode="External"/><Relationship Id="rId3" Type="http://schemas.openxmlformats.org/officeDocument/2006/relationships/hyperlink" Target="https://docs.google.com/document/d/1ziQ-FenZcGJ_swAbpvk8iK8JKxEYctseV_f7IaRU_U8/edit" TargetMode="External"/><Relationship Id="rId4" Type="http://schemas.openxmlformats.org/officeDocument/2006/relationships/hyperlink" Target="https://docs.google.com/document/d/1WtzIUKea5opqfVk5gRHSl6VxDMLKOxfnHLyr0DxTTWY/edit" TargetMode="External"/><Relationship Id="rId9" Type="http://schemas.openxmlformats.org/officeDocument/2006/relationships/hyperlink" Target="https://docs.google.com/document/d/1uL2VsV61rigoCjb6oZciQyK7eht4QeIESRW_5f5MchU/edit" TargetMode="External"/><Relationship Id="rId48" Type="http://schemas.openxmlformats.org/officeDocument/2006/relationships/hyperlink" Target="https://docs.google.com/document/d/1mi0zcUnjyoxDogP8zjcwm_vVNjZxf1ne7NsPZqFL4rQ/edit?usp=sharing" TargetMode="External"/><Relationship Id="rId47" Type="http://schemas.openxmlformats.org/officeDocument/2006/relationships/hyperlink" Target="https://docs.google.com/document/d/1E-rsj_TRbGmM9QM_ZgTj2wVuWu7JPXx95sItd1_mSRg/edit?usp=sharing" TargetMode="External"/><Relationship Id="rId49" Type="http://schemas.openxmlformats.org/officeDocument/2006/relationships/hyperlink" Target="https://docs.google.com/document/d/1DDhjpYa0XY78jC3BYDdrkKR-s2lZ-oHLXfGa4WFVwL4/edit?usp=sharing" TargetMode="External"/><Relationship Id="rId5" Type="http://schemas.openxmlformats.org/officeDocument/2006/relationships/hyperlink" Target="https://docs.google.com/document/d/1Cf7rU4C8r04ougVs-T_bgN1dKAfWBV-PrJ-kyQA8LSI/edit" TargetMode="External"/><Relationship Id="rId6" Type="http://schemas.openxmlformats.org/officeDocument/2006/relationships/hyperlink" Target="https://docs.google.com/document/d/1BqPxU1MSlaO6CrZS-8uo5K0PjM8BXqcACv33-HYGlpM/edit" TargetMode="External"/><Relationship Id="rId7" Type="http://schemas.openxmlformats.org/officeDocument/2006/relationships/hyperlink" Target="https://docs.google.com/document/d/1qxYQUoraO15F7WrW4W7v1bkQ64e7t5QYPEdpAIB4lU0/edit" TargetMode="External"/><Relationship Id="rId8" Type="http://schemas.openxmlformats.org/officeDocument/2006/relationships/hyperlink" Target="https://docs.google.com/document/d/10PCKKodCsGIfDxmj_8VQc5NprS2RcIlNUCsh_0F6tqA/edit" TargetMode="External"/><Relationship Id="rId31" Type="http://schemas.openxmlformats.org/officeDocument/2006/relationships/hyperlink" Target="https://docs.google.com/document/d/1THAzA7jIZjr57fJFhRWAdSfW90nGGUCbm6OCh3x5-zE/edit" TargetMode="External"/><Relationship Id="rId30" Type="http://schemas.openxmlformats.org/officeDocument/2006/relationships/hyperlink" Target="https://docs.google.com/document/d/1cUyt4q3k8EfrHCUZp6T23akKjp9mVqGXuTrfKhZy0so/edit" TargetMode="External"/><Relationship Id="rId33" Type="http://schemas.openxmlformats.org/officeDocument/2006/relationships/hyperlink" Target="https://docs.google.com/document/d/1lWDb-LWuFRxKyMKkEV2WehY_N7hNr_BaOPwJ7d2PUmo/edit" TargetMode="External"/><Relationship Id="rId32" Type="http://schemas.openxmlformats.org/officeDocument/2006/relationships/hyperlink" Target="https://docs.google.com/document/d/1pZszLDKyFOTmJOAmq67b2ySaY8TN9sJRAUmh50RNnZQ/edit" TargetMode="External"/><Relationship Id="rId35" Type="http://schemas.openxmlformats.org/officeDocument/2006/relationships/hyperlink" Target="https://docs.google.com/document/d/1l0tlInlzgfKTRJA4MCIyEQ4I2km0Xrms2DJmErn15Lo/edit" TargetMode="External"/><Relationship Id="rId34" Type="http://schemas.openxmlformats.org/officeDocument/2006/relationships/hyperlink" Target="https://docs.google.com/document/d/1_7Ys1C_YWNf73NPTHy6yhzjYx0c047QM9uptjZgDH38/edit" TargetMode="External"/><Relationship Id="rId37" Type="http://schemas.openxmlformats.org/officeDocument/2006/relationships/hyperlink" Target="https://docs.google.com/document/d/14mP06YRgOufqGK1NvUzZ1xeskbwKqjp49sNf3d1aCjA/edit?usp=sharing" TargetMode="External"/><Relationship Id="rId36" Type="http://schemas.openxmlformats.org/officeDocument/2006/relationships/hyperlink" Target="https://docs.google.com/document/d/1baKMkFBBJmyc2v9OrgZHhTvLV3vVDX-LcRZaSx5AtaY/edit?usp=sharing" TargetMode="External"/><Relationship Id="rId39" Type="http://schemas.openxmlformats.org/officeDocument/2006/relationships/hyperlink" Target="https://docs.google.com/document/d/1apSJsVWfuzy-smLRSzqYjVRZmmSdyoXk1To59w7MPZ8/edit?usp=sharing" TargetMode="External"/><Relationship Id="rId38" Type="http://schemas.openxmlformats.org/officeDocument/2006/relationships/hyperlink" Target="https://docs.google.com/document/d/17EbAtYWqCBNag1jggaDw61VthVP58hRDx6obIBAr66Q/edit?usp=sharing" TargetMode="External"/><Relationship Id="rId62" Type="http://schemas.openxmlformats.org/officeDocument/2006/relationships/hyperlink" Target="https://docs.google.com/document/d/1olH5RsC9O0bTm3EtyK6GWKI3nVoBwbJXENhD6gGrGVc/edit?usp=sharing" TargetMode="External"/><Relationship Id="rId61" Type="http://schemas.openxmlformats.org/officeDocument/2006/relationships/hyperlink" Target="https://docs.google.com/document/d/1Z9FFqxJOkq18nLv4daS91CteoXFvyfdv1hQjd9wrfNM/edit?usp=sharing" TargetMode="External"/><Relationship Id="rId20" Type="http://schemas.openxmlformats.org/officeDocument/2006/relationships/hyperlink" Target="https://docs.google.com/document/d/1wQpxWTaSCuZrN1bEg6b05N0FDK4DrycZbDci8zizWCY/edit" TargetMode="External"/><Relationship Id="rId64" Type="http://schemas.openxmlformats.org/officeDocument/2006/relationships/hyperlink" Target="https://docs.google.com/document/d/173qXN0pujK65Y-6KSZErLMHBde35xkeWd2MLqkPDp6U/edit?usp=sharing" TargetMode="External"/><Relationship Id="rId63" Type="http://schemas.openxmlformats.org/officeDocument/2006/relationships/hyperlink" Target="https://docs.google.com/document/d/1BhII_0fkHbNbg08Va9CWybSgrzcvwfU0622l3Qp_neg/edit?usp=sharing" TargetMode="External"/><Relationship Id="rId22" Type="http://schemas.openxmlformats.org/officeDocument/2006/relationships/hyperlink" Target="https://docs.google.com/document/d/1VbWoewRH7x70IksZtPFb6vngj52K47evQxpbpnuWMRY/edit" TargetMode="External"/><Relationship Id="rId66" Type="http://schemas.openxmlformats.org/officeDocument/2006/relationships/hyperlink" Target="https://docs.google.com/document/d/1W3bQef-EnZWsJ4mkdyqbAG8tU13J6WSJ2snJ9G5IvEE/edit?usp=sharing" TargetMode="External"/><Relationship Id="rId21" Type="http://schemas.openxmlformats.org/officeDocument/2006/relationships/hyperlink" Target="https://docs.google.com/document/d/10UfzHb3VyAUAgjxUpRFm1JrOrNaWlFbVVbgVmDOpFIM/edit" TargetMode="External"/><Relationship Id="rId65" Type="http://schemas.openxmlformats.org/officeDocument/2006/relationships/hyperlink" Target="https://docs.google.com/document/d/1-gZ2Che3Yx414giGYJEiCi66G_8-RR88wmRhFmb6oJg/edit?usp=sharing" TargetMode="External"/><Relationship Id="rId24" Type="http://schemas.openxmlformats.org/officeDocument/2006/relationships/hyperlink" Target="https://docs.google.com/document/d/1FOW6UmtVbhviWuLKR7W1Zc7chcy_Bh5lSts1ejuncmg/edit" TargetMode="External"/><Relationship Id="rId23" Type="http://schemas.openxmlformats.org/officeDocument/2006/relationships/hyperlink" Target="https://docs.google.com/document/d/1Y7e1wxY27fVy1G_Pfaynb5RqF6K4ahHI33-Mz26gqWM/edit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docs.google.com/document/d/1Q7mjIXsgu2pFvOk_4iDeFuFXTz6y1fUfNwKxr7A_Ut8/edit?usp=sharing" TargetMode="External"/><Relationship Id="rId26" Type="http://schemas.openxmlformats.org/officeDocument/2006/relationships/hyperlink" Target="https://docs.google.com/document/d/1BugX2aeEBDVZWrqxT_ju_q5gMG-3cwZFlbQz47qzvW4/edit" TargetMode="External"/><Relationship Id="rId25" Type="http://schemas.openxmlformats.org/officeDocument/2006/relationships/hyperlink" Target="https://docs.google.com/document/d/1wL5zAzyreHYessh6Ur1I0-LgYJXyWKea3E6YQ6NY7Q8/edit" TargetMode="External"/><Relationship Id="rId28" Type="http://schemas.openxmlformats.org/officeDocument/2006/relationships/hyperlink" Target="https://docs.google.com/document/d/1yAl5qk3audMEBGbef1Gl_wCAAg1zL_Thww_RWa1eaR0/edit" TargetMode="External"/><Relationship Id="rId27" Type="http://schemas.openxmlformats.org/officeDocument/2006/relationships/hyperlink" Target="https://docs.google.com/document/d/1_oUyj_zQcVsFPRdcZHY0SiBRPJJ4aEvqhsiYqIilQ08/edit" TargetMode="External"/><Relationship Id="rId29" Type="http://schemas.openxmlformats.org/officeDocument/2006/relationships/hyperlink" Target="https://docs.google.com/document/d/1soLuhhgLjw7yyYwQ9NThHTcd3xT_KEN5ab0TW5Zo4eQ/edit" TargetMode="External"/><Relationship Id="rId51" Type="http://schemas.openxmlformats.org/officeDocument/2006/relationships/hyperlink" Target="https://docs.google.com/document/d/1G2wcLTFh7ynSuBAXkYVabalmgaJO7alyEpWP2paop7I/edit?usp=sharing" TargetMode="External"/><Relationship Id="rId50" Type="http://schemas.openxmlformats.org/officeDocument/2006/relationships/hyperlink" Target="https://docs.google.com/document/d/1zuclWSn1JSsKm4XILHh13UY5GSSF8oRbVNHEBvmcYLk/edit?usp=sharing" TargetMode="External"/><Relationship Id="rId53" Type="http://schemas.openxmlformats.org/officeDocument/2006/relationships/hyperlink" Target="https://docs.google.com/document/d/1VL8kcx0ObraPbx19nw4MOCs0GsWNppIwV-NkMDY-5o4/edit?usp=sharing" TargetMode="External"/><Relationship Id="rId52" Type="http://schemas.openxmlformats.org/officeDocument/2006/relationships/hyperlink" Target="https://docs.google.com/document/d/10gKT8DIW_eq91MsmNZIuYqRURlcCwPoAjH4-tAfEZr4/edit?usp=sharing" TargetMode="External"/><Relationship Id="rId11" Type="http://schemas.openxmlformats.org/officeDocument/2006/relationships/hyperlink" Target="https://docs.google.com/document/d/1vjNyGSjlH6T-7uf6SGHhJmpoAN5d9H0gzRFUo8dFx9o/edit" TargetMode="External"/><Relationship Id="rId55" Type="http://schemas.openxmlformats.org/officeDocument/2006/relationships/hyperlink" Target="https://docs.google.com/document/d/1JhtKp9fUXrbGyUXaa8UmeWtwn24aDPEHVti-gnFP0V0/edit?usp=sharing" TargetMode="External"/><Relationship Id="rId10" Type="http://schemas.openxmlformats.org/officeDocument/2006/relationships/hyperlink" Target="https://docs.google.com/document/d/1ZiGq5QOs7X_ozLHn18y5FK61-mh3WO74Ip4gO00UMyc/edit?usp=sharing" TargetMode="External"/><Relationship Id="rId54" Type="http://schemas.openxmlformats.org/officeDocument/2006/relationships/hyperlink" Target="https://docs.google.com/document/d/1LhLd37CYMmQMH2CBW-SzbVJuZrNVPoxNEMoRgX6Fpzw/edit?usp=sharing" TargetMode="External"/><Relationship Id="rId13" Type="http://schemas.openxmlformats.org/officeDocument/2006/relationships/hyperlink" Target="https://docs.google.com/document/d/1EPuGnatk8fle5uYzMbUPRgDXa9JXZ_KEtnGqgvfEGyI/edit" TargetMode="External"/><Relationship Id="rId57" Type="http://schemas.openxmlformats.org/officeDocument/2006/relationships/hyperlink" Target="https://docs.google.com/document/d/1uJ3dxpQBeeZ4FyIkftpzNMMXm8TOkT9NxhdbHLOcVG4/edit?usp=sharing" TargetMode="External"/><Relationship Id="rId12" Type="http://schemas.openxmlformats.org/officeDocument/2006/relationships/hyperlink" Target="https://docs.google.com/document/d/1j7rb2g24-r_qRe7-HtlYHz6WP3W80sTiFDO_j2j2GJI/edit" TargetMode="External"/><Relationship Id="rId56" Type="http://schemas.openxmlformats.org/officeDocument/2006/relationships/hyperlink" Target="https://docs.google.com/document/d/1aT-9-w4n6qQf0WNqtdh6B6F5554VfwvDsSJqSya0jao/edit?usp=sharing" TargetMode="External"/><Relationship Id="rId15" Type="http://schemas.openxmlformats.org/officeDocument/2006/relationships/hyperlink" Target="https://docs.google.com/document/d/1tAs-eIdzn4hC-ZddvQRE6uubqGJVLh-W45DnE7hVL_o/edit" TargetMode="External"/><Relationship Id="rId59" Type="http://schemas.openxmlformats.org/officeDocument/2006/relationships/hyperlink" Target="https://docs.google.com/document/d/1AUEiAFlxmjn7VzQASiSUUD8-dyItbF3rlwm86PmDFog/edit?usp=sharing" TargetMode="External"/><Relationship Id="rId14" Type="http://schemas.openxmlformats.org/officeDocument/2006/relationships/hyperlink" Target="https://docs.google.com/document/d/1vVYoqaQEnL8CvGpsfg16P9NTpld8p7W3DjzucvM8JIY/edit" TargetMode="External"/><Relationship Id="rId58" Type="http://schemas.openxmlformats.org/officeDocument/2006/relationships/hyperlink" Target="https://docs.google.com/document/d/1HcwRzI7pI-MJ5m72Xl2KOwUZEfsycJAQGtqLD23Igqo/edit?usp=sharing" TargetMode="External"/><Relationship Id="rId17" Type="http://schemas.openxmlformats.org/officeDocument/2006/relationships/hyperlink" Target="https://docs.google.com/document/d/1XhXWhpPTND4aYkPmQjkN41D_QBk9XLJpK3LjFpBcXsE/edit" TargetMode="External"/><Relationship Id="rId16" Type="http://schemas.openxmlformats.org/officeDocument/2006/relationships/hyperlink" Target="https://docs.google.com/document/d/1ajGsIx2Ssimm2qyMnAbAQHNi59liU5_yGkBJ33DVtBk/edit" TargetMode="External"/><Relationship Id="rId19" Type="http://schemas.openxmlformats.org/officeDocument/2006/relationships/hyperlink" Target="https://docs.google.com/document/d/1GpadcM5eBbo6nLoAOdEA-VncfBea4GJ8IYioSDFsrLc/edit" TargetMode="External"/><Relationship Id="rId18" Type="http://schemas.openxmlformats.org/officeDocument/2006/relationships/hyperlink" Target="https://docs.google.com/document/d/17PhA_raKYQhxX9NNYja27_tdT1jB7i_1ri78uAb0WjM/edi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AlVd8ZyRMU2-1HMaQGEKhaevFtZW3v2/view?usp=share_link" TargetMode="External"/><Relationship Id="rId84" Type="http://schemas.openxmlformats.org/officeDocument/2006/relationships/hyperlink" Target="https://drive.google.com/file/d/1wQAaHzwSNoR9JKP6EGGiBnqrUuGg93GN/view?usp=share_link" TargetMode="External"/><Relationship Id="rId83" Type="http://schemas.openxmlformats.org/officeDocument/2006/relationships/hyperlink" Target="https://drive.google.com/file/d/1F10klHIJzHxinIv_N3pax3-lTUSBzdpj/view?usp=share_link" TargetMode="External"/><Relationship Id="rId42" Type="http://schemas.openxmlformats.org/officeDocument/2006/relationships/hyperlink" Target="https://drive.google.com/file/d/1lS4997C5Dg6wmN6AWu2cjRA8nEfMUAzO/view?usp=share_link" TargetMode="External"/><Relationship Id="rId86" Type="http://schemas.openxmlformats.org/officeDocument/2006/relationships/hyperlink" Target="https://drive.google.com/file/d/1cWP5gd7G7yhX675Ft3mvXPXcQ9AJBo5L/view?usp=share_link" TargetMode="External"/><Relationship Id="rId41" Type="http://schemas.openxmlformats.org/officeDocument/2006/relationships/hyperlink" Target="https://drive.google.com/file/d/1Rf7nfKACkIoFh_ashy7zMBEk8IQFZu8R/view?usp=share_link" TargetMode="External"/><Relationship Id="rId85" Type="http://schemas.openxmlformats.org/officeDocument/2006/relationships/hyperlink" Target="https://drive.google.com/file/d/1v2Wj--geqnCGFaUUA7HKzxi3TeOFHrHC/view?usp=share_link" TargetMode="External"/><Relationship Id="rId44" Type="http://schemas.openxmlformats.org/officeDocument/2006/relationships/hyperlink" Target="https://drive.google.com/file/d/1jwBhZeobRWRS2oxzcLFU8Va61aXVFuPZ/view?usp=share_link" TargetMode="External"/><Relationship Id="rId88" Type="http://schemas.openxmlformats.org/officeDocument/2006/relationships/hyperlink" Target="https://drive.google.com/file/d/1jdjYwsBJfoSSlcittWCvohlxr7z-QurL/view?usp=share_link" TargetMode="External"/><Relationship Id="rId43" Type="http://schemas.openxmlformats.org/officeDocument/2006/relationships/hyperlink" Target="https://drive.google.com/file/d/1VjAdUzngmfG3RFej27EplNZ8EsPDGrDE/view?usp=share_link" TargetMode="External"/><Relationship Id="rId87" Type="http://schemas.openxmlformats.org/officeDocument/2006/relationships/hyperlink" Target="https://drive.google.com/file/d/1s8bpCJOrSFOU4kwjQbz5DjmV4H6HENoz/view?usp=share_link" TargetMode="External"/><Relationship Id="rId46" Type="http://schemas.openxmlformats.org/officeDocument/2006/relationships/hyperlink" Target="https://drive.google.com/file/d/1dix9G-rdsQRtbySVEhBzTS71HEV8JWhO/view?usp=share_link" TargetMode="External"/><Relationship Id="rId45" Type="http://schemas.openxmlformats.org/officeDocument/2006/relationships/hyperlink" Target="https://drive.google.com/file/d/1yRJCXyLGff9WnYM7XUGnIRn-UPZvfg_u/view?usp=share_link" TargetMode="External"/><Relationship Id="rId89" Type="http://schemas.openxmlformats.org/officeDocument/2006/relationships/hyperlink" Target="https://drive.google.com/file/d/1I2AXn_n-pXvDDgetYzAJQmd8PHPqF_kG/view?usp=share_link" TargetMode="External"/><Relationship Id="rId80" Type="http://schemas.openxmlformats.org/officeDocument/2006/relationships/hyperlink" Target="https://drive.google.com/file/d/1F-IVuygUjIcRtLdb_nAbExtBOPgFszWJ/view?usp=share_link" TargetMode="External"/><Relationship Id="rId82" Type="http://schemas.openxmlformats.org/officeDocument/2006/relationships/hyperlink" Target="https://drive.google.com/file/d/1RO4oVHpg-6EV0ohUioimFLCZ6K3CKEs7/view?usp=share_link" TargetMode="External"/><Relationship Id="rId81" Type="http://schemas.openxmlformats.org/officeDocument/2006/relationships/hyperlink" Target="https://drive.google.com/file/d/1zSJ2fya3q53HpbkLTgniDO61LTeQVGrp/view?usp=share_link" TargetMode="External"/><Relationship Id="rId1" Type="http://schemas.openxmlformats.org/officeDocument/2006/relationships/hyperlink" Target="https://drive.google.com/file/d/1tiXBu3Kipew3gP3eCOOu08rMnjCcM8Pd/view?usp=share_link" TargetMode="External"/><Relationship Id="rId2" Type="http://schemas.openxmlformats.org/officeDocument/2006/relationships/hyperlink" Target="https://drive.google.com/file/d/1kxBoo5IUsxyTAZgGjGD-cfGLFJdI5SMi/view?usp=share_link" TargetMode="External"/><Relationship Id="rId3" Type="http://schemas.openxmlformats.org/officeDocument/2006/relationships/hyperlink" Target="https://drive.google.com/file/d/1P_gZFDA9sOjwj7J2jFS1hON8dC-h6yM5/view?usp=share_link" TargetMode="External"/><Relationship Id="rId4" Type="http://schemas.openxmlformats.org/officeDocument/2006/relationships/hyperlink" Target="https://drive.google.com/file/d/1zQQcxz4Ia8bj5wlTXnM5BYlToFd9Ou8Y/view?usp=share_link" TargetMode="External"/><Relationship Id="rId9" Type="http://schemas.openxmlformats.org/officeDocument/2006/relationships/hyperlink" Target="https://drive.google.com/file/d/141zdKlZ77biPKGcQxsMbhxfIu7zYAXGh/view?usp=share_link" TargetMode="External"/><Relationship Id="rId48" Type="http://schemas.openxmlformats.org/officeDocument/2006/relationships/hyperlink" Target="https://drive.google.com/file/d/1g9mkmCL7E8gyKT494D7MRaF8lWTtnACk/view?usp=share_link" TargetMode="External"/><Relationship Id="rId47" Type="http://schemas.openxmlformats.org/officeDocument/2006/relationships/hyperlink" Target="https://drive.google.com/file/d/1obs0HOGuZwOLluLTmRvu70hUZf2cKekL/view?usp=share_link" TargetMode="External"/><Relationship Id="rId49" Type="http://schemas.openxmlformats.org/officeDocument/2006/relationships/hyperlink" Target="https://drive.google.com/file/d/1oleUbkjDtFWp6cqqQOGWxLtQPYtqT_b8/view?usp=share_link" TargetMode="External"/><Relationship Id="rId5" Type="http://schemas.openxmlformats.org/officeDocument/2006/relationships/hyperlink" Target="https://drive.google.com/file/d/185h1snKmi4YAm6rDf0WEFGStF2U82m37/view?usp=share_link" TargetMode="External"/><Relationship Id="rId6" Type="http://schemas.openxmlformats.org/officeDocument/2006/relationships/hyperlink" Target="https://drive.google.com/file/d/12etz0stZ-6yPML8YvUKarlCNzPW6AMQy/view?usp=share_link" TargetMode="External"/><Relationship Id="rId7" Type="http://schemas.openxmlformats.org/officeDocument/2006/relationships/hyperlink" Target="https://drive.google.com/file/d/1RKd3acvLTmnJKRZB7sj7LrtbPzhyX83W/view?usp=share_link" TargetMode="External"/><Relationship Id="rId8" Type="http://schemas.openxmlformats.org/officeDocument/2006/relationships/hyperlink" Target="https://drive.google.com/file/d/1Jzzw-29t9TbRfwahJJyljbn1pArc1YtB/view?usp=share_link" TargetMode="External"/><Relationship Id="rId73" Type="http://schemas.openxmlformats.org/officeDocument/2006/relationships/hyperlink" Target="https://drive.google.com/file/d/1Kn-5TMUHzNpi2zX5B6doCmdtkY9XGHM7/view?usp=share_link" TargetMode="External"/><Relationship Id="rId72" Type="http://schemas.openxmlformats.org/officeDocument/2006/relationships/hyperlink" Target="https://drive.google.com/file/d/1ZGMyWwUs-WUYSPzgsSXb19BJgna_iAYg/view?usp=share_link" TargetMode="External"/><Relationship Id="rId31" Type="http://schemas.openxmlformats.org/officeDocument/2006/relationships/hyperlink" Target="https://drive.google.com/file/d/133QXTKFrSlv8FYyu3v_hVYIqnVjhecmn/view?usp=share_link" TargetMode="External"/><Relationship Id="rId75" Type="http://schemas.openxmlformats.org/officeDocument/2006/relationships/hyperlink" Target="https://drive.google.com/file/d/1hHilwYL-dRRJ3yRAB1A-PggbZj3_f6_I/view?usp=share_link" TargetMode="External"/><Relationship Id="rId30" Type="http://schemas.openxmlformats.org/officeDocument/2006/relationships/hyperlink" Target="https://drive.google.com/file/d/1SduFJM_vchrlYmIVvzGwyXNEVui6ts65/view?usp=share_link" TargetMode="External"/><Relationship Id="rId74" Type="http://schemas.openxmlformats.org/officeDocument/2006/relationships/hyperlink" Target="https://drive.google.com/file/d/1VFmx7iCspmVt094sldpKjeHQM8x1IIgr/view?usp=share_link" TargetMode="External"/><Relationship Id="rId33" Type="http://schemas.openxmlformats.org/officeDocument/2006/relationships/hyperlink" Target="https://drive.google.com/file/d/1zITIoXw4X7FXFW5TZrAOM8toqb5dcCYM/view?usp=share_link" TargetMode="External"/><Relationship Id="rId77" Type="http://schemas.openxmlformats.org/officeDocument/2006/relationships/hyperlink" Target="https://drive.google.com/file/d/1D6-30f78qNZACTT3vzvVK9YopyNMYbXh/view?usp=share_link" TargetMode="External"/><Relationship Id="rId32" Type="http://schemas.openxmlformats.org/officeDocument/2006/relationships/hyperlink" Target="https://drive.google.com/file/d/18RjTZ5mAvpZQVAgx4tGxhD1di3RfGkKR/view?usp=share_link" TargetMode="External"/><Relationship Id="rId76" Type="http://schemas.openxmlformats.org/officeDocument/2006/relationships/hyperlink" Target="https://drive.google.com/file/d/1WG9VXjUTZV1HiQlX-1xOwg7LfnufF3bd/view?usp=share_link" TargetMode="External"/><Relationship Id="rId35" Type="http://schemas.openxmlformats.org/officeDocument/2006/relationships/hyperlink" Target="https://drive.google.com/file/d/143xg-qJ1YGZfwmvmIJlyQT3pgM4Oc4af/view?usp=share_link" TargetMode="External"/><Relationship Id="rId79" Type="http://schemas.openxmlformats.org/officeDocument/2006/relationships/hyperlink" Target="https://drive.google.com/file/d/1UT1iQatiqWvllH4YSMihivPJrQjVUCsv/view?usp=share_link" TargetMode="External"/><Relationship Id="rId34" Type="http://schemas.openxmlformats.org/officeDocument/2006/relationships/hyperlink" Target="https://drive.google.com/file/d/1Ax1Rxn5hvjOu422TQGm7WePejgYYEwHI/view?usp=share_link" TargetMode="External"/><Relationship Id="rId78" Type="http://schemas.openxmlformats.org/officeDocument/2006/relationships/hyperlink" Target="https://drive.google.com/file/d/1MQ0j4ImYU1VlsZcepSA4x216ep0Ux82_/view?usp=share_link" TargetMode="External"/><Relationship Id="rId71" Type="http://schemas.openxmlformats.org/officeDocument/2006/relationships/hyperlink" Target="https://drive.google.com/file/d/1xciWI7t6KWAz9ad8idP9BHujjTKelJDe/view?usp=share_link" TargetMode="External"/><Relationship Id="rId70" Type="http://schemas.openxmlformats.org/officeDocument/2006/relationships/hyperlink" Target="https://drive.google.com/file/d/1yndl70-un3-0WbLGDXzuOh8b4d942Hjd/view?usp=share_link" TargetMode="External"/><Relationship Id="rId37" Type="http://schemas.openxmlformats.org/officeDocument/2006/relationships/hyperlink" Target="https://drive.google.com/file/d/1Ry1Fr970Ps66qUuUe6W2eWQNH3Xwl7Ll/view?usp=share_link" TargetMode="External"/><Relationship Id="rId36" Type="http://schemas.openxmlformats.org/officeDocument/2006/relationships/hyperlink" Target="https://drive.google.com/file/d/13JgGrlfGVUSiZCdrYOvkgV2e32NSuIoc/view?usp=share_link" TargetMode="External"/><Relationship Id="rId39" Type="http://schemas.openxmlformats.org/officeDocument/2006/relationships/hyperlink" Target="https://drive.google.com/file/d/1_skTGX32He5aJ6AMQCXxPvFUX3qUJKFN/view?usp=share_link" TargetMode="External"/><Relationship Id="rId38" Type="http://schemas.openxmlformats.org/officeDocument/2006/relationships/hyperlink" Target="https://drive.google.com/file/d/1c0hBn7VZ1eecjui9_3h-TQ1kKR3etWcH/view?usp=share_link" TargetMode="External"/><Relationship Id="rId62" Type="http://schemas.openxmlformats.org/officeDocument/2006/relationships/hyperlink" Target="https://drive.google.com/file/d/1BlPbEKR2vPwquooANq46WURQs9niej5R/view?usp=share_link" TargetMode="External"/><Relationship Id="rId61" Type="http://schemas.openxmlformats.org/officeDocument/2006/relationships/hyperlink" Target="https://drive.google.com/file/d/1u_6kobFNQtAj466gyp_SLJZfugK8BUUr/view?usp=share_link" TargetMode="External"/><Relationship Id="rId20" Type="http://schemas.openxmlformats.org/officeDocument/2006/relationships/hyperlink" Target="https://drive.google.com/file/d/1iJe-E5SbD4Gq7GbvVZ8iAPpR0PTHcOAX/view?usp=share_link" TargetMode="External"/><Relationship Id="rId64" Type="http://schemas.openxmlformats.org/officeDocument/2006/relationships/hyperlink" Target="https://drive.google.com/file/d/1oIZpvPORQrvYLFAU50xuPlqY9Y0FNDYc/view?usp=share_link" TargetMode="External"/><Relationship Id="rId63" Type="http://schemas.openxmlformats.org/officeDocument/2006/relationships/hyperlink" Target="https://drive.google.com/file/d/1acjSvnuxb5IxzPqydwD-Iu_dpk9y-Rpl/view?usp=share_link" TargetMode="External"/><Relationship Id="rId22" Type="http://schemas.openxmlformats.org/officeDocument/2006/relationships/hyperlink" Target="https://drive.google.com/file/d/1r1eWgsdUFOR4IJe-zmEoGK76JUEkaE3V/view?usp=share_link" TargetMode="External"/><Relationship Id="rId66" Type="http://schemas.openxmlformats.org/officeDocument/2006/relationships/hyperlink" Target="https://drive.google.com/file/d/1uwQgIKsxgY6_oztBjYw180JZbzCZKcnt/view?usp=share_link" TargetMode="External"/><Relationship Id="rId21" Type="http://schemas.openxmlformats.org/officeDocument/2006/relationships/hyperlink" Target="https://drive.google.com/file/d/1kHK6ZzDUfcWnxScAcehsqne7pLIhD5Ob/view?usp=share_link" TargetMode="External"/><Relationship Id="rId65" Type="http://schemas.openxmlformats.org/officeDocument/2006/relationships/hyperlink" Target="https://drive.google.com/file/d/1mg3Yj1fOJj980C5V7WAVvWgRdePuuvNL/view?usp=share_link" TargetMode="External"/><Relationship Id="rId24" Type="http://schemas.openxmlformats.org/officeDocument/2006/relationships/hyperlink" Target="https://drive.google.com/file/d/1VGx5Yp42kO92cbGcJleEx5wJ5KrNgdrK/view?usp=share_link" TargetMode="External"/><Relationship Id="rId68" Type="http://schemas.openxmlformats.org/officeDocument/2006/relationships/hyperlink" Target="https://drive.google.com/file/d/1Ak3G3KOY59y9B3QJ2KyKUorZ8BL1fMfa/view?usp=share_link" TargetMode="External"/><Relationship Id="rId23" Type="http://schemas.openxmlformats.org/officeDocument/2006/relationships/hyperlink" Target="https://drive.google.com/file/d/1e40anWbQvflJAnYKprRids33oVmWq6hb/view?usp=share_link" TargetMode="External"/><Relationship Id="rId67" Type="http://schemas.openxmlformats.org/officeDocument/2006/relationships/hyperlink" Target="https://drive.google.com/file/d/1eR5VONxA-cIHttHDyYrOQrVx4lyvmwQq/view?usp=share_link" TargetMode="External"/><Relationship Id="rId60" Type="http://schemas.openxmlformats.org/officeDocument/2006/relationships/hyperlink" Target="https://drive.google.com/file/d/1-M45wwtbcqd6JwBbkkXdVJJSKzu9ZYar/view?usp=share_link" TargetMode="External"/><Relationship Id="rId26" Type="http://schemas.openxmlformats.org/officeDocument/2006/relationships/hyperlink" Target="https://drive.google.com/file/d/11DUMCltj97hZBKv4BlVr6XNLgUEgOamb/view?usp=share_link" TargetMode="External"/><Relationship Id="rId25" Type="http://schemas.openxmlformats.org/officeDocument/2006/relationships/hyperlink" Target="https://drive.google.com/file/d/1CsBh58vHxuoik0EALAU6gUZVY8tENbfV/view?usp=share_link" TargetMode="External"/><Relationship Id="rId69" Type="http://schemas.openxmlformats.org/officeDocument/2006/relationships/hyperlink" Target="https://drive.google.com/file/d/1lAceRIjFHesh3boq5dvnmI8T1L1KUO-r/view?usp=share_link" TargetMode="External"/><Relationship Id="rId28" Type="http://schemas.openxmlformats.org/officeDocument/2006/relationships/hyperlink" Target="https://drive.google.com/file/d/1xDQ7PiZ5zdzdtBnYxy7dRuq6zLTxCVbq/view?usp=share_link" TargetMode="External"/><Relationship Id="rId27" Type="http://schemas.openxmlformats.org/officeDocument/2006/relationships/hyperlink" Target="https://drive.google.com/file/d/13blVhsraeZua73CSrHQVQQnOIvGuDRTV/view?usp=share_link" TargetMode="External"/><Relationship Id="rId29" Type="http://schemas.openxmlformats.org/officeDocument/2006/relationships/hyperlink" Target="https://drive.google.com/file/d/1gQTbaoW-0lTiUWSodQXL-_tdUVGdFYao/view?usp=share_link" TargetMode="External"/><Relationship Id="rId51" Type="http://schemas.openxmlformats.org/officeDocument/2006/relationships/hyperlink" Target="https://drive.google.com/file/d/1g8F9-B0cKJ9ufswdB93mVofo6Ews2Bzq/view?usp=share_link" TargetMode="External"/><Relationship Id="rId50" Type="http://schemas.openxmlformats.org/officeDocument/2006/relationships/hyperlink" Target="https://drive.google.com/file/d/1H_FflUwsqp08hqO0p7QAOacuyQcsqaaH/view?usp=share_link" TargetMode="External"/><Relationship Id="rId53" Type="http://schemas.openxmlformats.org/officeDocument/2006/relationships/hyperlink" Target="https://drive.google.com/file/d/1wHxgnpI717VpWe46OSGV4TCr8k4csg_W/view?usp=share_link" TargetMode="External"/><Relationship Id="rId52" Type="http://schemas.openxmlformats.org/officeDocument/2006/relationships/hyperlink" Target="https://drive.google.com/file/d/1Lh7FDbQPVTi1NN0KagKu0hG8RZ67Sjnm/view?usp=share_link" TargetMode="External"/><Relationship Id="rId11" Type="http://schemas.openxmlformats.org/officeDocument/2006/relationships/hyperlink" Target="https://drive.google.com/file/d/1aAjOyBmJFIwM17G7US4U9qWTH0QUtSBB/view?usp=share_link" TargetMode="External"/><Relationship Id="rId55" Type="http://schemas.openxmlformats.org/officeDocument/2006/relationships/hyperlink" Target="https://drive.google.com/file/d/1Jq2qgFY4zoLULHJcZW94trQculZs4Ixg/view?usp=share_link" TargetMode="External"/><Relationship Id="rId10" Type="http://schemas.openxmlformats.org/officeDocument/2006/relationships/hyperlink" Target="https://drive.google.com/file/d/1clhumqUBjARcbvM0QZJ4gciIbeXvF1kb/view?usp=share_link" TargetMode="External"/><Relationship Id="rId54" Type="http://schemas.openxmlformats.org/officeDocument/2006/relationships/hyperlink" Target="https://drive.google.com/file/d/1BGVbXW0v8xZnAyS09Pk80dLupzxwLSUq/view?usp=share_link" TargetMode="External"/><Relationship Id="rId13" Type="http://schemas.openxmlformats.org/officeDocument/2006/relationships/hyperlink" Target="https://drive.google.com/file/d/102SM7fAxyetEka61CvgmP4c4uSuMzhzi/view?usp=share_link" TargetMode="External"/><Relationship Id="rId57" Type="http://schemas.openxmlformats.org/officeDocument/2006/relationships/hyperlink" Target="https://drive.google.com/file/d/1DZp_IS1QGzTVEYIpBVLG8__vyEP4kYVC/view?usp=share_link" TargetMode="External"/><Relationship Id="rId12" Type="http://schemas.openxmlformats.org/officeDocument/2006/relationships/hyperlink" Target="https://drive.google.com/file/d/1Xf9CVhx8eUJ5mViyC76QwsG3keGD7AaN/view?usp=share_link" TargetMode="External"/><Relationship Id="rId56" Type="http://schemas.openxmlformats.org/officeDocument/2006/relationships/hyperlink" Target="https://drive.google.com/file/d/1a7MQZDV3I-gNL1VquSrn_a6-Twm4e5vx/view?usp=share_link" TargetMode="External"/><Relationship Id="rId91" Type="http://schemas.openxmlformats.org/officeDocument/2006/relationships/hyperlink" Target="https://drive.google.com/file/d/1LHx6C8spdEBO-hpKNju0J73_nqXUQuRT/view?usp=share_link" TargetMode="External"/><Relationship Id="rId90" Type="http://schemas.openxmlformats.org/officeDocument/2006/relationships/hyperlink" Target="https://drive.google.com/file/d/1zB7M-uA9XO5CrBKLje0wyNnaBCNoMbcJ/view?usp=share_link" TargetMode="External"/><Relationship Id="rId93" Type="http://schemas.openxmlformats.org/officeDocument/2006/relationships/drawing" Target="../drawings/drawing2.xml"/><Relationship Id="rId92" Type="http://schemas.openxmlformats.org/officeDocument/2006/relationships/hyperlink" Target="https://drive.google.com/file/d/1GuCElFXi-DGHuMezVx8aknLZ-79M3Mb4/view?usp=share_link" TargetMode="External"/><Relationship Id="rId15" Type="http://schemas.openxmlformats.org/officeDocument/2006/relationships/hyperlink" Target="https://drive.google.com/file/d/1DAdGwHFpZPz4VHWf6bIuXZzTjfu4Ejf2/view?usp=share_link" TargetMode="External"/><Relationship Id="rId59" Type="http://schemas.openxmlformats.org/officeDocument/2006/relationships/hyperlink" Target="https://drive.google.com/file/d/12hzEoQVefhWVMDJe7ecq5LmfrAv23_bt/view?usp=share_link" TargetMode="External"/><Relationship Id="rId14" Type="http://schemas.openxmlformats.org/officeDocument/2006/relationships/hyperlink" Target="https://drive.google.com/file/d/1mSsW-EVdyhjiel5SsYvINLdGKdC8ATGj/view?usp=share_link" TargetMode="External"/><Relationship Id="rId58" Type="http://schemas.openxmlformats.org/officeDocument/2006/relationships/hyperlink" Target="https://drive.google.com/file/d/14VVRWH_m6oWbcMqS5t73o3eNDLZyDeKp/view?usp=share_link" TargetMode="External"/><Relationship Id="rId17" Type="http://schemas.openxmlformats.org/officeDocument/2006/relationships/hyperlink" Target="https://drive.google.com/file/d/1Or_6Jc_jrV5NVNlQhOek0GQlY3QsEjwS/view?usp=share_link" TargetMode="External"/><Relationship Id="rId16" Type="http://schemas.openxmlformats.org/officeDocument/2006/relationships/hyperlink" Target="https://drive.google.com/file/d/135hC4_B0EwueopSgtV6m0N1hsPOWEX5x/view?usp=share_link" TargetMode="External"/><Relationship Id="rId19" Type="http://schemas.openxmlformats.org/officeDocument/2006/relationships/hyperlink" Target="https://drive.google.com/file/d/1E_bZ1wwxzHMuKhktN59j1YaThX1ZaYAR/view?usp=share_link" TargetMode="External"/><Relationship Id="rId18" Type="http://schemas.openxmlformats.org/officeDocument/2006/relationships/hyperlink" Target="https://drive.google.com/file/d/17l-fZWMj2e4vyrxdqNcCjbxTtHbIhvuD/view?usp=shar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P7dghRg-VmiSTx5hsWtf8hA5cp7VpH6/view?usp=share_link" TargetMode="External"/><Relationship Id="rId41" Type="http://schemas.openxmlformats.org/officeDocument/2006/relationships/drawing" Target="../drawings/drawing3.xml"/><Relationship Id="rId1" Type="http://schemas.openxmlformats.org/officeDocument/2006/relationships/hyperlink" Target="https://drive.google.com/file/d/15e4wBK03lO489-acsO_5QT3qVnGQUxmb/view?usp=share_link" TargetMode="External"/><Relationship Id="rId2" Type="http://schemas.openxmlformats.org/officeDocument/2006/relationships/hyperlink" Target="https://drive.google.com/file/d/1Ne09fZmbvs0wEGLVgy-xJSR0_WBEn6A0/view?usp=share_link" TargetMode="External"/><Relationship Id="rId3" Type="http://schemas.openxmlformats.org/officeDocument/2006/relationships/hyperlink" Target="https://drive.google.com/file/d/1eWCHKEaBnl1dptyCLZaMPesG8vmCT7Th/view?usp=share_link" TargetMode="External"/><Relationship Id="rId4" Type="http://schemas.openxmlformats.org/officeDocument/2006/relationships/hyperlink" Target="https://drive.google.com/file/d/1PE-KdYkyoKnG5fLbJVlQwVGA8mlxMn-5/view?usp=share_link" TargetMode="External"/><Relationship Id="rId9" Type="http://schemas.openxmlformats.org/officeDocument/2006/relationships/hyperlink" Target="https://drive.google.com/file/d/1NqSW6Y_d8LwxESJHE6az4HcP2BM1cMGP/view?usp=share_link" TargetMode="External"/><Relationship Id="rId5" Type="http://schemas.openxmlformats.org/officeDocument/2006/relationships/hyperlink" Target="https://drive.google.com/file/d/1v3pU_gtjf9lTW7nQ4EQHoNL6ePOJoorV/view?usp=share_link" TargetMode="External"/><Relationship Id="rId6" Type="http://schemas.openxmlformats.org/officeDocument/2006/relationships/hyperlink" Target="https://drive.google.com/file/d/11kKTyCgS3rdX4nunSMsCJPUNmXVD3keS/view?usp=share_link" TargetMode="External"/><Relationship Id="rId7" Type="http://schemas.openxmlformats.org/officeDocument/2006/relationships/hyperlink" Target="https://drive.google.com/file/d/10N8Sdi-roP5yWX5aGrxV9p2-EzBHm11u/view?usp=share_link" TargetMode="External"/><Relationship Id="rId8" Type="http://schemas.openxmlformats.org/officeDocument/2006/relationships/hyperlink" Target="https://drive.google.com/file/d/16yEhLFfXp83tekRGIsAowM446mcwB4ZR/view?usp=share_link" TargetMode="External"/><Relationship Id="rId31" Type="http://schemas.openxmlformats.org/officeDocument/2006/relationships/hyperlink" Target="https://drive.google.com/file/d/1Fkh9Fi7PQAE-7TCE2g3qx3rk9kcyRPjL/view?usp=share_link" TargetMode="External"/><Relationship Id="rId30" Type="http://schemas.openxmlformats.org/officeDocument/2006/relationships/hyperlink" Target="https://drive.google.com/file/d/1XkwuZl4OyLReKobEqgBshWbNe3xJOhol/view?usp=share_link" TargetMode="External"/><Relationship Id="rId33" Type="http://schemas.openxmlformats.org/officeDocument/2006/relationships/hyperlink" Target="https://drive.google.com/file/d/1KEyBAXZHknNm0_am8euW2Bm3DciRHGjL/view?usp=share_link" TargetMode="External"/><Relationship Id="rId32" Type="http://schemas.openxmlformats.org/officeDocument/2006/relationships/hyperlink" Target="https://drive.google.com/file/d/1-xgzqiniXV4UIpo6kU0__U-a9QCp5LSF/view?usp=share_link" TargetMode="External"/><Relationship Id="rId35" Type="http://schemas.openxmlformats.org/officeDocument/2006/relationships/hyperlink" Target="https://drive.google.com/file/d/1WX7N9Ef1UgrjTZ7ttqD4x8NbrTcEMwzs/view?usp=share_link" TargetMode="External"/><Relationship Id="rId34" Type="http://schemas.openxmlformats.org/officeDocument/2006/relationships/hyperlink" Target="https://drive.google.com/file/d/1xUxvFQ_ykVhnQVtlvWudoS1A9E9rAArA/view?usp=share_link" TargetMode="External"/><Relationship Id="rId37" Type="http://schemas.openxmlformats.org/officeDocument/2006/relationships/hyperlink" Target="https://drive.google.com/file/d/1uSwdoDZD_ZpUC0ieIUiJtgnvrBsWivkZ/view?usp=share_link" TargetMode="External"/><Relationship Id="rId36" Type="http://schemas.openxmlformats.org/officeDocument/2006/relationships/hyperlink" Target="https://drive.google.com/file/d/1Rila4yrvBE9VWqll58XJfFY1PNznIkKn/view?usp=share_link" TargetMode="External"/><Relationship Id="rId39" Type="http://schemas.openxmlformats.org/officeDocument/2006/relationships/hyperlink" Target="https://drive.google.com/file/d/1AP7dghRg-VmiSTx5hsWtf8hA5cp7VpH6/view?usp=share_link" TargetMode="External"/><Relationship Id="rId38" Type="http://schemas.openxmlformats.org/officeDocument/2006/relationships/hyperlink" Target="https://drive.google.com/file/d/1QJtuxYRQZ9r2pjA3sKRlEq_Fu-sybRdf/view?usp=share_link" TargetMode="External"/><Relationship Id="rId20" Type="http://schemas.openxmlformats.org/officeDocument/2006/relationships/hyperlink" Target="https://drive.google.com/file/d/1F1MyW9zQUZF0JbN7Vfsew3iE79oN5MYq/view?usp=share_link" TargetMode="External"/><Relationship Id="rId22" Type="http://schemas.openxmlformats.org/officeDocument/2006/relationships/hyperlink" Target="https://drive.google.com/file/d/184ZsTpuFsYlg6HiV-77RkUPgpt4GHTzW/view?usp=share_link" TargetMode="External"/><Relationship Id="rId21" Type="http://schemas.openxmlformats.org/officeDocument/2006/relationships/hyperlink" Target="https://drive.google.com/file/d/13AKq1v8cIz1ZVulZ3Fz5IIGJM-XPjfJG/view?usp=share_link" TargetMode="External"/><Relationship Id="rId24" Type="http://schemas.openxmlformats.org/officeDocument/2006/relationships/hyperlink" Target="https://drive.google.com/file/d/1kFQYo8_1Oop9emvLzRwDxm1GOq8XJMBL/view?usp=share_link" TargetMode="External"/><Relationship Id="rId23" Type="http://schemas.openxmlformats.org/officeDocument/2006/relationships/hyperlink" Target="https://drive.google.com/file/d/1XeDFLNkj0N9NdnMoFy28zE1CMW_Hh649/view?usp=share_link" TargetMode="External"/><Relationship Id="rId26" Type="http://schemas.openxmlformats.org/officeDocument/2006/relationships/hyperlink" Target="https://drive.google.com/file/d/1XB5ydgQBgzkZILtEJ8hkwbl6OOC5ieIz/view?usp=share_link" TargetMode="External"/><Relationship Id="rId25" Type="http://schemas.openxmlformats.org/officeDocument/2006/relationships/hyperlink" Target="https://drive.google.com/file/d/1AI7zVEUoTW-QqLMPiRtV7mFEQNPfB2b0/view?usp=share_link" TargetMode="External"/><Relationship Id="rId28" Type="http://schemas.openxmlformats.org/officeDocument/2006/relationships/hyperlink" Target="https://drive.google.com/file/d/1DM3QWRC1M7WBqg3Pvu4ejiVjT20fX1Ep/view?usp=share_link" TargetMode="External"/><Relationship Id="rId27" Type="http://schemas.openxmlformats.org/officeDocument/2006/relationships/hyperlink" Target="https://drive.google.com/file/d/11lg1wYoq-ATd8MAN_wIOnFFnliy9i5C7/view?usp=share_link" TargetMode="External"/><Relationship Id="rId29" Type="http://schemas.openxmlformats.org/officeDocument/2006/relationships/hyperlink" Target="https://drive.google.com/file/d/19iPbFMQgA-HFSSMt_spT5KoZhswKLlJP/view?usp=share_link" TargetMode="External"/><Relationship Id="rId11" Type="http://schemas.openxmlformats.org/officeDocument/2006/relationships/hyperlink" Target="https://drive.google.com/file/d/1XUJMn0ZL9ITcptwyH16zCGnWUHR3qbu0/view?usp=share_link" TargetMode="External"/><Relationship Id="rId10" Type="http://schemas.openxmlformats.org/officeDocument/2006/relationships/hyperlink" Target="https://drive.google.com/file/d/1tDGBiPiKa8MuyvZbGWBAnmcVEsU3Y7Og/view?usp=share_link" TargetMode="External"/><Relationship Id="rId13" Type="http://schemas.openxmlformats.org/officeDocument/2006/relationships/hyperlink" Target="https://drive.google.com/file/d/1wJSf7YGKZb5Pea3QodZ6315fsava8PUS/view?usp=share_link" TargetMode="External"/><Relationship Id="rId12" Type="http://schemas.openxmlformats.org/officeDocument/2006/relationships/hyperlink" Target="https://drive.google.com/file/d/1h-NRbSEEKzT4aUMd7fipf8AEhplRvD0S/view?usp=share_link" TargetMode="External"/><Relationship Id="rId15" Type="http://schemas.openxmlformats.org/officeDocument/2006/relationships/hyperlink" Target="https://drive.google.com/file/d/1A7rTJBarrG7mHzD_m6ocz7-1S_lmh7fh/view?usp=share_link" TargetMode="External"/><Relationship Id="rId14" Type="http://schemas.openxmlformats.org/officeDocument/2006/relationships/hyperlink" Target="https://drive.google.com/file/d/1NvZFDFfqqlxjx0r8Fd0YiLSkLzS-db_r/view?usp=share_link" TargetMode="External"/><Relationship Id="rId17" Type="http://schemas.openxmlformats.org/officeDocument/2006/relationships/hyperlink" Target="https://drive.google.com/file/d/1OBzF4dOMXzgI3l86cXX8OMwBvbz2ztB3/view?usp=share_link" TargetMode="External"/><Relationship Id="rId16" Type="http://schemas.openxmlformats.org/officeDocument/2006/relationships/hyperlink" Target="https://drive.google.com/file/d/14rmuXOg2iYn8M4iu_UbjsuTaq-9BQ6la/view?usp=share_link" TargetMode="External"/><Relationship Id="rId19" Type="http://schemas.openxmlformats.org/officeDocument/2006/relationships/hyperlink" Target="https://drive.google.com/file/d/1V2fkmYM9UHnU8RFgv1fYqRp5eUsTpjov/view?usp=share_link" TargetMode="External"/><Relationship Id="rId18" Type="http://schemas.openxmlformats.org/officeDocument/2006/relationships/hyperlink" Target="https://drive.google.com/file/d/18L8vpNPJt5OJ3EWcuEumqLhqjxDwOJij/view?usp=shar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Ul2DalAxGlBwGgmdwjE-Q9LkfAzs2Fek/view?usp=share_link" TargetMode="External"/><Relationship Id="rId42" Type="http://schemas.openxmlformats.org/officeDocument/2006/relationships/hyperlink" Target="https://drive.google.com/file/d/1eOT8gHcqOZPFTfrCmlgd1dkoOhLsjLvZ/view?usp=share_link" TargetMode="External"/><Relationship Id="rId41" Type="http://schemas.openxmlformats.org/officeDocument/2006/relationships/hyperlink" Target="https://drive.google.com/file/d/1LlugIvu3G6_9eMz8lkNok1_bsPJXW84M/view?usp=share_link" TargetMode="External"/><Relationship Id="rId44" Type="http://schemas.openxmlformats.org/officeDocument/2006/relationships/hyperlink" Target="https://drive.google.com/file/d/15BUdqlauaxOMfHbCqGcP8xqNM1V9M4m7/view?usp=share_link" TargetMode="External"/><Relationship Id="rId43" Type="http://schemas.openxmlformats.org/officeDocument/2006/relationships/hyperlink" Target="https://drive.google.com/file/d/1LrnDPRfws-rlfdEZiy_Po5ZXnoRSh0Jm/view?usp=share_link" TargetMode="External"/><Relationship Id="rId46" Type="http://schemas.openxmlformats.org/officeDocument/2006/relationships/hyperlink" Target="https://drive.google.com/file/d/1pksvytvy-ktly-OinrAIuzWlG6b02Yeh/view?usp=share_link" TargetMode="External"/><Relationship Id="rId45" Type="http://schemas.openxmlformats.org/officeDocument/2006/relationships/hyperlink" Target="https://drive.google.com/file/d/1xXhZdtMpXMxb7QL-OMa9josgHw95YhP_/view?usp=share_link" TargetMode="External"/><Relationship Id="rId107" Type="http://schemas.openxmlformats.org/officeDocument/2006/relationships/hyperlink" Target="https://drive.google.com/file/d/16HvSUNGtZpoRFoXpoYtw0x9vhR9kMnjD/view?usp=share_link" TargetMode="External"/><Relationship Id="rId106" Type="http://schemas.openxmlformats.org/officeDocument/2006/relationships/hyperlink" Target="https://drive.google.com/file/d/1Kaq3w2m7IjWNp_dVDmuN7dZF-WqdtJ0M/view?usp=share_link" TargetMode="External"/><Relationship Id="rId105" Type="http://schemas.openxmlformats.org/officeDocument/2006/relationships/hyperlink" Target="https://drive.google.com/file/d/11xywtmWioDajqJ_j6FWI3NsWT8rf5xQ2/view?usp=share_link" TargetMode="External"/><Relationship Id="rId104" Type="http://schemas.openxmlformats.org/officeDocument/2006/relationships/hyperlink" Target="https://drive.google.com/file/d/16m_7dbTqdXgqQsKM8E_Q6Qqmf4eqoAA9/view?usp=share_link" TargetMode="External"/><Relationship Id="rId109" Type="http://schemas.openxmlformats.org/officeDocument/2006/relationships/hyperlink" Target="https://drive.google.com/file/d/1ESn4cHAS8_bgG-B6psut47unLIOCxkG8/view?usp=share_link" TargetMode="External"/><Relationship Id="rId108" Type="http://schemas.openxmlformats.org/officeDocument/2006/relationships/hyperlink" Target="https://drive.google.com/file/d/12UtUZzWkqSmDWDMwXBHqLS4FVnaan12k/view?usp=share_link" TargetMode="External"/><Relationship Id="rId48" Type="http://schemas.openxmlformats.org/officeDocument/2006/relationships/hyperlink" Target="https://drive.google.com/file/d/1grh1fjTwdkbOugpT_FMpK_oQA1Wd7ktc/view?usp=share_link" TargetMode="External"/><Relationship Id="rId47" Type="http://schemas.openxmlformats.org/officeDocument/2006/relationships/hyperlink" Target="https://drive.google.com/file/d/12UgmpjYsQN0Qad6lFK_jfknEpaH5T8_w/view?usp=share_link" TargetMode="External"/><Relationship Id="rId49" Type="http://schemas.openxmlformats.org/officeDocument/2006/relationships/hyperlink" Target="https://drive.google.com/file/d/1UewbFh3zXnkPkb8QIagJHoyFDZaNiNIq/view?usp=share_link" TargetMode="External"/><Relationship Id="rId103" Type="http://schemas.openxmlformats.org/officeDocument/2006/relationships/hyperlink" Target="https://drive.google.com/file/d/17tbn90mSUL_FVPWHFO1GZg20Qcl-_E8X/view?usp=share_link" TargetMode="External"/><Relationship Id="rId102" Type="http://schemas.openxmlformats.org/officeDocument/2006/relationships/hyperlink" Target="https://drive.google.com/file/d/1htMbqf799CKrB8_qbz8V_5t8yWeXVI1j/view?usp=share_link" TargetMode="External"/><Relationship Id="rId101" Type="http://schemas.openxmlformats.org/officeDocument/2006/relationships/hyperlink" Target="https://drive.google.com/file/d/1-4g4gyqFn2x-KUUayeakRe-kXzHl1o6X/view?usp=share_link" TargetMode="External"/><Relationship Id="rId100" Type="http://schemas.openxmlformats.org/officeDocument/2006/relationships/hyperlink" Target="https://drive.google.com/file/d/1iESzKg4hfWZtay6qBv5m8XO-I07CNcMA/view?usp=share_link" TargetMode="External"/><Relationship Id="rId31" Type="http://schemas.openxmlformats.org/officeDocument/2006/relationships/hyperlink" Target="https://drive.google.com/file/d/1EdzFC8c_xiEfjmJRda0_88EbK6EKQBqC/view?usp=share_link" TargetMode="External"/><Relationship Id="rId30" Type="http://schemas.openxmlformats.org/officeDocument/2006/relationships/hyperlink" Target="https://drive.google.com/file/d/11I7HVOlTTJXO_JZRNI7YS3eDVqYE8tOA/view?usp=share_link" TargetMode="External"/><Relationship Id="rId33" Type="http://schemas.openxmlformats.org/officeDocument/2006/relationships/hyperlink" Target="https://drive.google.com/file/d/1sE5VML198regT7I8jLDWDxZNsEonUXOm/view?usp=share_link" TargetMode="External"/><Relationship Id="rId32" Type="http://schemas.openxmlformats.org/officeDocument/2006/relationships/hyperlink" Target="https://drive.google.com/file/d/1nQiIIZvYO6LukFdJBg71Vafqiri4aAnM/view?usp=share_link" TargetMode="External"/><Relationship Id="rId35" Type="http://schemas.openxmlformats.org/officeDocument/2006/relationships/hyperlink" Target="https://drive.google.com/file/d/1w5UalgWPIAfrBdoUPC_iJ9P3cEXGbvL5/view?usp=share_link" TargetMode="External"/><Relationship Id="rId34" Type="http://schemas.openxmlformats.org/officeDocument/2006/relationships/hyperlink" Target="https://drive.google.com/file/d/1bW5TxfYpNOjU1CaQuImcPfrl4ShsoG3j/view?usp=share_link" TargetMode="External"/><Relationship Id="rId37" Type="http://schemas.openxmlformats.org/officeDocument/2006/relationships/hyperlink" Target="https://drive.google.com/file/d/1ojUUbYxwUw4fYPj0mlgQeT3-QNs67EV_/view?usp=share_link" TargetMode="External"/><Relationship Id="rId36" Type="http://schemas.openxmlformats.org/officeDocument/2006/relationships/hyperlink" Target="https://drive.google.com/file/d/1Ei3kO1HaEO5CO1qS3qQ23kV-HfIiFPGM/view?usp=share_link" TargetMode="External"/><Relationship Id="rId39" Type="http://schemas.openxmlformats.org/officeDocument/2006/relationships/hyperlink" Target="https://drive.google.com/file/d/1Q-EsXPt_6u7aG2jJdYPLD5WaZuZPYtwB/view?usp=share_link" TargetMode="External"/><Relationship Id="rId38" Type="http://schemas.openxmlformats.org/officeDocument/2006/relationships/hyperlink" Target="https://drive.google.com/file/d/1TEyoO1CP1udFDLDLmnS15Ps3uXPAu51c/view?usp=share_link" TargetMode="External"/><Relationship Id="rId20" Type="http://schemas.openxmlformats.org/officeDocument/2006/relationships/hyperlink" Target="https://drive.google.com/file/d/17pwV3Ii0LHKyZMqwev8AhFniKvLJ82i_/view?usp=share_link" TargetMode="External"/><Relationship Id="rId22" Type="http://schemas.openxmlformats.org/officeDocument/2006/relationships/hyperlink" Target="https://drive.google.com/file/d/1dGbDnVeJZMYdtdJ3dC13dC-J0bgcYQDm/view?usp=share_link" TargetMode="External"/><Relationship Id="rId21" Type="http://schemas.openxmlformats.org/officeDocument/2006/relationships/hyperlink" Target="https://drive.google.com/file/d/1NrLvrFck7hM48j5FKj19MF9vWTW5XRQj/view?usp=share_link" TargetMode="External"/><Relationship Id="rId24" Type="http://schemas.openxmlformats.org/officeDocument/2006/relationships/hyperlink" Target="https://drive.google.com/file/d/1yaQ_M8HfHjwRyDiN8WPWFGsfJzMi9Wwq/view?usp=share_link" TargetMode="External"/><Relationship Id="rId23" Type="http://schemas.openxmlformats.org/officeDocument/2006/relationships/hyperlink" Target="https://drive.google.com/file/d/1lw_u27zs3Jv5SlXRcPfTlqKuM3wohbpJ/view?usp=share_link" TargetMode="External"/><Relationship Id="rId129" Type="http://schemas.openxmlformats.org/officeDocument/2006/relationships/hyperlink" Target="https://drive.google.com/file/d/1Pc2d4cU7Z_IHARlSL7ECHoRsZ6aXPyYu/view?usp=share_link" TargetMode="External"/><Relationship Id="rId128" Type="http://schemas.openxmlformats.org/officeDocument/2006/relationships/hyperlink" Target="https://drive.google.com/file/d/1CgZUv-4B2KhRLRSQE2QeVUhZiXRfTqGr/view?usp=share_link" TargetMode="External"/><Relationship Id="rId127" Type="http://schemas.openxmlformats.org/officeDocument/2006/relationships/hyperlink" Target="https://drive.google.com/file/d/1MmlUq5crDl4iqhxg5yUm8QJUm0Rf4mIm/view?usp=share_link" TargetMode="External"/><Relationship Id="rId126" Type="http://schemas.openxmlformats.org/officeDocument/2006/relationships/hyperlink" Target="https://drive.google.com/file/d/1ucbEM84rQhTCnLr4hrBAaCJv0irArIVs/view?usp=share_link" TargetMode="External"/><Relationship Id="rId26" Type="http://schemas.openxmlformats.org/officeDocument/2006/relationships/hyperlink" Target="https://drive.google.com/file/d/1GPv7DljJ6nUkodsTtGAT2W07sUq9LIff/view?usp=share_link" TargetMode="External"/><Relationship Id="rId121" Type="http://schemas.openxmlformats.org/officeDocument/2006/relationships/hyperlink" Target="https://drive.google.com/file/d/1WIXhIHtDp4XTxg19_gZY530RbpUtq7_E/view?usp=share_link" TargetMode="External"/><Relationship Id="rId25" Type="http://schemas.openxmlformats.org/officeDocument/2006/relationships/hyperlink" Target="https://drive.google.com/file/d/1u4zi_sXek02SSMLtMQjslF0jTPaBMPmP/view?usp=share_link" TargetMode="External"/><Relationship Id="rId120" Type="http://schemas.openxmlformats.org/officeDocument/2006/relationships/hyperlink" Target="https://drive.google.com/file/d/1EB6ASFe8qnQJL0AhA9KuqLjg8XrJAK56/view?usp=share_link" TargetMode="External"/><Relationship Id="rId28" Type="http://schemas.openxmlformats.org/officeDocument/2006/relationships/hyperlink" Target="https://drive.google.com/file/d/10Wr0fye5itV_syEJVcRwqZw1zZM-Js7i/view?usp=share_link" TargetMode="External"/><Relationship Id="rId27" Type="http://schemas.openxmlformats.org/officeDocument/2006/relationships/hyperlink" Target="https://drive.google.com/file/d/1id8NNom4I7WZUboUUbscWW34Vu4v9YL6/view?usp=share_link" TargetMode="External"/><Relationship Id="rId125" Type="http://schemas.openxmlformats.org/officeDocument/2006/relationships/hyperlink" Target="https://drive.google.com/file/d/1vCL9gR0BhTuTsB7d_pBg_obSny8g3yre/view?usp=share_link" TargetMode="External"/><Relationship Id="rId29" Type="http://schemas.openxmlformats.org/officeDocument/2006/relationships/hyperlink" Target="https://drive.google.com/file/d/1cqxa0jW891dL6qltaCOufYe8AdvscNUf/view?usp=share_link" TargetMode="External"/><Relationship Id="rId124" Type="http://schemas.openxmlformats.org/officeDocument/2006/relationships/hyperlink" Target="https://drive.google.com/file/d/1dPSyzKfcKRCYG4YIwo3Rpv-9bjMtvVun/view?usp=share_link" TargetMode="External"/><Relationship Id="rId123" Type="http://schemas.openxmlformats.org/officeDocument/2006/relationships/hyperlink" Target="https://drive.google.com/file/d/17mHZEZO5Bl937R_aB-AG8y_OKWNzTDdn/view?usp=share_link" TargetMode="External"/><Relationship Id="rId122" Type="http://schemas.openxmlformats.org/officeDocument/2006/relationships/hyperlink" Target="https://drive.google.com/file/d/1RfBTurfq93urqYoPGZ6PsyJqOlMmdHie/view?usp=share_link" TargetMode="External"/><Relationship Id="rId95" Type="http://schemas.openxmlformats.org/officeDocument/2006/relationships/hyperlink" Target="https://drive.google.com/file/d/1wfSPnFmzw77xBnuvsYV8khPD6wEf7Y_5/view?usp=share_link" TargetMode="External"/><Relationship Id="rId94" Type="http://schemas.openxmlformats.org/officeDocument/2006/relationships/hyperlink" Target="https://drive.google.com/file/d/1y0seW2OhQe3iTYm9CPE8PV-zRAvfBrja/view?usp=share_link" TargetMode="External"/><Relationship Id="rId97" Type="http://schemas.openxmlformats.org/officeDocument/2006/relationships/hyperlink" Target="https://drive.google.com/file/d/1yInzTnGigo_Qgpz_rr2Fb4z51Q9i964-/view?usp=share_link" TargetMode="External"/><Relationship Id="rId96" Type="http://schemas.openxmlformats.org/officeDocument/2006/relationships/hyperlink" Target="https://drive.google.com/file/d/1y28fn7JDsmuh8BT0-5s43o2_Hoiw4GyM/view?usp=share_link" TargetMode="External"/><Relationship Id="rId11" Type="http://schemas.openxmlformats.org/officeDocument/2006/relationships/hyperlink" Target="https://drive.google.com/file/d/1Teey2ri4ZtK340KQmg3KYwgxXQHTBXLe/view?usp=share_link" TargetMode="External"/><Relationship Id="rId99" Type="http://schemas.openxmlformats.org/officeDocument/2006/relationships/hyperlink" Target="https://drive.google.com/file/d/1WrSnyS8CzMlPiTFXUmBZnZv2hnBnjrq3/view?usp=share_link" TargetMode="External"/><Relationship Id="rId10" Type="http://schemas.openxmlformats.org/officeDocument/2006/relationships/hyperlink" Target="https://drive.google.com/file/d/1Ll7_yjUD7uau2_5rHhkRjK_xhP90SWeL/view?usp=share_link" TargetMode="External"/><Relationship Id="rId98" Type="http://schemas.openxmlformats.org/officeDocument/2006/relationships/hyperlink" Target="https://drive.google.com/file/d/1UcygRF9jZ_tzZgWnEZ8XUx25uhWDYmMR/view?usp=share_link" TargetMode="External"/><Relationship Id="rId13" Type="http://schemas.openxmlformats.org/officeDocument/2006/relationships/hyperlink" Target="https://drive.google.com/file/d/1EhUSFsWFnMKCe5EoDJUv8tJ_GSOQzk95/view?usp=share_link" TargetMode="External"/><Relationship Id="rId12" Type="http://schemas.openxmlformats.org/officeDocument/2006/relationships/hyperlink" Target="https://drive.google.com/file/d/1SUw1AKKACs59e8lsU_4wDwLTtsbsnVMp/view?usp=share_link" TargetMode="External"/><Relationship Id="rId91" Type="http://schemas.openxmlformats.org/officeDocument/2006/relationships/hyperlink" Target="https://drive.google.com/file/d/1NVsW6Em_3eK8nuWwiYEnrrthVugs8Th-/view?usp=share_link" TargetMode="External"/><Relationship Id="rId90" Type="http://schemas.openxmlformats.org/officeDocument/2006/relationships/hyperlink" Target="https://drive.google.com/file/d/1ybFmeojH7KicRZc758ZPhMKKL17vsqzm/view?usp=share_link" TargetMode="External"/><Relationship Id="rId93" Type="http://schemas.openxmlformats.org/officeDocument/2006/relationships/hyperlink" Target="https://drive.google.com/file/d/17JmCKlPSixk_x-gI4FM2CVwK0avO0FPl/view?usp=share_link" TargetMode="External"/><Relationship Id="rId92" Type="http://schemas.openxmlformats.org/officeDocument/2006/relationships/hyperlink" Target="https://drive.google.com/file/d/1bI-dSCfxyI66yBefF_uaIzwXgGfjX5Pz/view?usp=share_link" TargetMode="External"/><Relationship Id="rId118" Type="http://schemas.openxmlformats.org/officeDocument/2006/relationships/hyperlink" Target="https://drive.google.com/file/d/1EkrkbC6eq_2cfyIXwhkn5LbvpbKK5k35/view?usp=share_link" TargetMode="External"/><Relationship Id="rId117" Type="http://schemas.openxmlformats.org/officeDocument/2006/relationships/hyperlink" Target="https://drive.google.com/file/d/17HUl03kXXIp9XsVqO5Z-Hpr3KK7yJwiq/view?usp=share_link" TargetMode="External"/><Relationship Id="rId116" Type="http://schemas.openxmlformats.org/officeDocument/2006/relationships/hyperlink" Target="https://drive.google.com/file/d/1bmHUFSs3kwB6vOUMsGR-BPtncg1FWKdH/view?usp=share_link" TargetMode="External"/><Relationship Id="rId115" Type="http://schemas.openxmlformats.org/officeDocument/2006/relationships/hyperlink" Target="https://drive.google.com/file/d/11uKV-nosf60FR2gHxfP-C3VnHwWkJLFf/view?usp=share_link" TargetMode="External"/><Relationship Id="rId119" Type="http://schemas.openxmlformats.org/officeDocument/2006/relationships/hyperlink" Target="https://drive.google.com/file/d/1gPyefS-WtQ_GlHmU1q0DLPep9LR-dWVT/view?usp=share_link" TargetMode="External"/><Relationship Id="rId15" Type="http://schemas.openxmlformats.org/officeDocument/2006/relationships/hyperlink" Target="https://drive.google.com/file/d/1zDsmiK_Y3CB0KXbawZIvGXarTN3947yA/view?usp=share_link" TargetMode="External"/><Relationship Id="rId110" Type="http://schemas.openxmlformats.org/officeDocument/2006/relationships/hyperlink" Target="https://drive.google.com/file/d/1DBOk_mvpV2iOngK7kejCJVsy_mMSd5f-/view?usp=share_link" TargetMode="External"/><Relationship Id="rId14" Type="http://schemas.openxmlformats.org/officeDocument/2006/relationships/hyperlink" Target="https://drive.google.com/file/d/1EfqVJ5jp-jlbIvuEhhehnatzqNQVID85/view?usp=share_link" TargetMode="External"/><Relationship Id="rId17" Type="http://schemas.openxmlformats.org/officeDocument/2006/relationships/hyperlink" Target="https://drive.google.com/file/d/1a9Dq-x0Stwusnog3JMkSTVt_lPvzWfcj/view?usp=share_link" TargetMode="External"/><Relationship Id="rId16" Type="http://schemas.openxmlformats.org/officeDocument/2006/relationships/hyperlink" Target="https://drive.google.com/file/d/1HUStRbpvoLRzGBnE8BTORtSlPcNFflxn/view?usp=share_link" TargetMode="External"/><Relationship Id="rId19" Type="http://schemas.openxmlformats.org/officeDocument/2006/relationships/hyperlink" Target="https://drive.google.com/file/d/1QcfHm4XbmzCAE54F21E5E0DRHWh5eSpq/view?usp=share_link" TargetMode="External"/><Relationship Id="rId114" Type="http://schemas.openxmlformats.org/officeDocument/2006/relationships/hyperlink" Target="https://drive.google.com/file/d/1MKzvFH_lm9DwIiWUZH_aZSRMFxfD8Rh9/view?usp=share_link" TargetMode="External"/><Relationship Id="rId18" Type="http://schemas.openxmlformats.org/officeDocument/2006/relationships/hyperlink" Target="https://drive.google.com/file/d/1_4ld9cuNUgGl5rCJ9MMfTfgS6ooSn6Dq/view?usp=share_link" TargetMode="External"/><Relationship Id="rId113" Type="http://schemas.openxmlformats.org/officeDocument/2006/relationships/hyperlink" Target="https://drive.google.com/file/d/1XTBRyB6mWrOL3QETpS5c2QP114ZIrUcd/view?usp=share_link" TargetMode="External"/><Relationship Id="rId112" Type="http://schemas.openxmlformats.org/officeDocument/2006/relationships/hyperlink" Target="https://drive.google.com/file/d/1VXDVSUKv7vsTKm_4GW2GrC5bEJrKQmiO/view?usp=share_link" TargetMode="External"/><Relationship Id="rId111" Type="http://schemas.openxmlformats.org/officeDocument/2006/relationships/hyperlink" Target="https://drive.google.com/file/d/1yIbqIuUVVLr-CdXdIEvPanTdaKaSEtrM/view?usp=share_link" TargetMode="External"/><Relationship Id="rId84" Type="http://schemas.openxmlformats.org/officeDocument/2006/relationships/hyperlink" Target="https://drive.google.com/file/d/1MpT2Euq-8a-o_lHb82QWkO01JKc6kLGU/view?usp=share_link" TargetMode="External"/><Relationship Id="rId83" Type="http://schemas.openxmlformats.org/officeDocument/2006/relationships/hyperlink" Target="https://drive.google.com/file/d/1CXJ-tPhh4B3IRFp4zVnSrtessBW-hXIz/view?usp=share_link" TargetMode="External"/><Relationship Id="rId86" Type="http://schemas.openxmlformats.org/officeDocument/2006/relationships/hyperlink" Target="https://drive.google.com/file/d/1fp8wJtQ3LbVgJaD361iBXQFJPeHbmjcw/view?usp=share_link" TargetMode="External"/><Relationship Id="rId85" Type="http://schemas.openxmlformats.org/officeDocument/2006/relationships/hyperlink" Target="https://drive.google.com/file/d/16nvPiyPDMVVGr5ylq49XkOUGpmVWupCC/view?usp=share_link" TargetMode="External"/><Relationship Id="rId88" Type="http://schemas.openxmlformats.org/officeDocument/2006/relationships/hyperlink" Target="https://drive.google.com/file/d/1c6-OEiK821TJncUo3Te8yc121xCIWiZS/view?usp=share_link" TargetMode="External"/><Relationship Id="rId87" Type="http://schemas.openxmlformats.org/officeDocument/2006/relationships/hyperlink" Target="https://drive.google.com/file/d/1f-LbS8gR5hIRsEse7mEsh9e6yoBl6Iv2/view?usp=share_link" TargetMode="External"/><Relationship Id="rId89" Type="http://schemas.openxmlformats.org/officeDocument/2006/relationships/hyperlink" Target="https://drive.google.com/file/d/1SCcX0B-4HOMGBn_Koh7Jo8MoaiXHwf-h/view?usp=share_link" TargetMode="External"/><Relationship Id="rId80" Type="http://schemas.openxmlformats.org/officeDocument/2006/relationships/hyperlink" Target="https://drive.google.com/file/d/1D6WNr2NASguFX5n0m9enooqkKt_70bCd/view?usp=share_link" TargetMode="External"/><Relationship Id="rId82" Type="http://schemas.openxmlformats.org/officeDocument/2006/relationships/hyperlink" Target="https://drive.google.com/file/d/1PBlv4E6QIecHx8r-fBRJOUlqkF2kcX79/view?usp=share_link" TargetMode="External"/><Relationship Id="rId81" Type="http://schemas.openxmlformats.org/officeDocument/2006/relationships/hyperlink" Target="https://drive.google.com/file/d/1MDhLmh7yFhSQJCUKXM9GsKX9Z8ta8KSS/view?usp=share_link" TargetMode="External"/><Relationship Id="rId1" Type="http://schemas.openxmlformats.org/officeDocument/2006/relationships/hyperlink" Target="https://drive.google.com/file/d/1DW_DbORR_Wy63liYKU9LIwft-Svz1Ey0/view?usp=share_link" TargetMode="External"/><Relationship Id="rId2" Type="http://schemas.openxmlformats.org/officeDocument/2006/relationships/hyperlink" Target="https://drive.google.com/file/d/1qe8S2JtZgWEMIN_3KNzRxacjOfmR1OiW/view?usp=share_link" TargetMode="External"/><Relationship Id="rId3" Type="http://schemas.openxmlformats.org/officeDocument/2006/relationships/hyperlink" Target="https://drive.google.com/file/d/1BgL04cgYwu_trdSegFS3mUUqTWAnY_mM/view?usp=share_link" TargetMode="External"/><Relationship Id="rId4" Type="http://schemas.openxmlformats.org/officeDocument/2006/relationships/hyperlink" Target="https://drive.google.com/file/d/1zAsMOOlcWLDqC1DTwkwfuVu8X2HKzBCX/view?usp=share_link" TargetMode="External"/><Relationship Id="rId9" Type="http://schemas.openxmlformats.org/officeDocument/2006/relationships/hyperlink" Target="https://drive.google.com/file/d/1hp09_mdrCKOeSV-pq3qmrq3I-Xw5JKcF/view?usp=share_link" TargetMode="External"/><Relationship Id="rId141" Type="http://schemas.openxmlformats.org/officeDocument/2006/relationships/drawing" Target="../drawings/drawing4.xml"/><Relationship Id="rId140" Type="http://schemas.openxmlformats.org/officeDocument/2006/relationships/hyperlink" Target="https://drive.google.com/file/d/1w4gfz6mlCfwlr4pJj24h9H5EEwF8_pxn/view?usp=share_link" TargetMode="External"/><Relationship Id="rId5" Type="http://schemas.openxmlformats.org/officeDocument/2006/relationships/hyperlink" Target="https://drive.google.com/file/d/147PufqrJzs-k4Bt-kqIARD0gLIu7B9zU/view?usp=share_link" TargetMode="External"/><Relationship Id="rId6" Type="http://schemas.openxmlformats.org/officeDocument/2006/relationships/hyperlink" Target="https://drive.google.com/file/d/1OYIVLdyowNG24BmMyAbbyeFl6twF8sWT/view?usp=share_link" TargetMode="External"/><Relationship Id="rId7" Type="http://schemas.openxmlformats.org/officeDocument/2006/relationships/hyperlink" Target="https://drive.google.com/file/d/1PFnS87g0iV-sGfWfU-Ypj-ch0eg-S5Yu/view?usp=share_link" TargetMode="External"/><Relationship Id="rId8" Type="http://schemas.openxmlformats.org/officeDocument/2006/relationships/hyperlink" Target="https://drive.google.com/file/d/12_o6Wwq1DYEg1STThoFCnEzpJ_hZg4wO/view?usp=share_link" TargetMode="External"/><Relationship Id="rId73" Type="http://schemas.openxmlformats.org/officeDocument/2006/relationships/hyperlink" Target="https://drive.google.com/file/d/1hEGEUSIhQaokqZG-ZwD5O1E1re_D4eCQ/view?usp=share_link" TargetMode="External"/><Relationship Id="rId72" Type="http://schemas.openxmlformats.org/officeDocument/2006/relationships/hyperlink" Target="https://drive.google.com/file/d/1rmxTt1XcbUf-vBxcI0qe6rYW3sVhRM0T/view?usp=share_link" TargetMode="External"/><Relationship Id="rId75" Type="http://schemas.openxmlformats.org/officeDocument/2006/relationships/hyperlink" Target="https://drive.google.com/file/d/18hnD2OHYbdmuvP4sG6Y1YTQZGI_S4_as/view?usp=share_link" TargetMode="External"/><Relationship Id="rId74" Type="http://schemas.openxmlformats.org/officeDocument/2006/relationships/hyperlink" Target="https://drive.google.com/file/d/11UeaoCSNfjwE0HviNSFFc5XDeE5oB7i7/view?usp=share_link" TargetMode="External"/><Relationship Id="rId77" Type="http://schemas.openxmlformats.org/officeDocument/2006/relationships/hyperlink" Target="https://drive.google.com/file/d/1xXxbp5_t1xDjXF5j4zRPSddU7UWsUY3C/view?usp=share_link" TargetMode="External"/><Relationship Id="rId76" Type="http://schemas.openxmlformats.org/officeDocument/2006/relationships/hyperlink" Target="https://drive.google.com/file/d/1pJB_AoHppPZ44jKu4AXP-xwiMbVOtzag/view?usp=share_link" TargetMode="External"/><Relationship Id="rId79" Type="http://schemas.openxmlformats.org/officeDocument/2006/relationships/hyperlink" Target="https://drive.google.com/file/d/1EONqXoIAV7-JcTOL4c25ir-qpdotK4y9/view?usp=share_link" TargetMode="External"/><Relationship Id="rId78" Type="http://schemas.openxmlformats.org/officeDocument/2006/relationships/hyperlink" Target="https://drive.google.com/file/d/1WpL4algUK0IHdcUEGdVrIvLujSVYDLqG/view?usp=share_link" TargetMode="External"/><Relationship Id="rId71" Type="http://schemas.openxmlformats.org/officeDocument/2006/relationships/hyperlink" Target="https://drive.google.com/file/d/1igZO5-qbRnzYVJ4aTV0lyHpH5xRkRdp0/view?usp=share_link" TargetMode="External"/><Relationship Id="rId70" Type="http://schemas.openxmlformats.org/officeDocument/2006/relationships/hyperlink" Target="https://drive.google.com/file/d/1kmj9uvNMGWq-muTwBJNR17i8Vnjo4eJp/view?usp=share_link" TargetMode="External"/><Relationship Id="rId139" Type="http://schemas.openxmlformats.org/officeDocument/2006/relationships/hyperlink" Target="https://drive.google.com/file/d/1tVqCQz7r_EsxaiiD7mK7bT-AId6KQJ2M/view?usp=share_link" TargetMode="External"/><Relationship Id="rId138" Type="http://schemas.openxmlformats.org/officeDocument/2006/relationships/hyperlink" Target="https://drive.google.com/file/d/16BOqunp6ZyPPiIIp_cYgnQAIYZXv_nwo/view?usp=share_link" TargetMode="External"/><Relationship Id="rId137" Type="http://schemas.openxmlformats.org/officeDocument/2006/relationships/hyperlink" Target="https://drive.google.com/file/d/16CN6uF4PD_TDvJ7xAmAb_qvorLtwrREp/view?usp=share_link" TargetMode="External"/><Relationship Id="rId132" Type="http://schemas.openxmlformats.org/officeDocument/2006/relationships/hyperlink" Target="https://drive.google.com/file/d/1nTdbu6OFuJd9IJt6LPrjDD_eMZ8vKLdH/view?usp=share_link" TargetMode="External"/><Relationship Id="rId131" Type="http://schemas.openxmlformats.org/officeDocument/2006/relationships/hyperlink" Target="https://drive.google.com/file/d/1NfBOknN7RhOzehGNa3-zV4VIdFCcYLzt/view?usp=share_link" TargetMode="External"/><Relationship Id="rId130" Type="http://schemas.openxmlformats.org/officeDocument/2006/relationships/hyperlink" Target="https://drive.google.com/file/d/1wtnpt5VAbJ5KB7AiXyDyLt7FSeXB8tJz/view?usp=share_link" TargetMode="External"/><Relationship Id="rId136" Type="http://schemas.openxmlformats.org/officeDocument/2006/relationships/hyperlink" Target="https://drive.google.com/file/d/1MKzvFH_lm9DwIiWUZH_aZSRMFxfD8Rh9/view?usp=share_link" TargetMode="External"/><Relationship Id="rId135" Type="http://schemas.openxmlformats.org/officeDocument/2006/relationships/hyperlink" Target="https://drive.google.com/file/d/1XTBRyB6mWrOL3QETpS5c2QP114ZIrUcd/view?usp=share_link" TargetMode="External"/><Relationship Id="rId134" Type="http://schemas.openxmlformats.org/officeDocument/2006/relationships/hyperlink" Target="https://drive.google.com/file/d/1BX2lgJd-Ae986cfEjafrjQlk95jCZG8d/view?usp=share_link" TargetMode="External"/><Relationship Id="rId133" Type="http://schemas.openxmlformats.org/officeDocument/2006/relationships/hyperlink" Target="https://drive.google.com/file/d/1QbK1PkREeFQwzkabg-H4O2tn7xPFLRkh/view?usp=share_link" TargetMode="External"/><Relationship Id="rId62" Type="http://schemas.openxmlformats.org/officeDocument/2006/relationships/hyperlink" Target="https://drive.google.com/file/d/1d4vSpRoKgZ_9FJoxTv1N6YkofsJqaGu9/view?usp=share_link" TargetMode="External"/><Relationship Id="rId61" Type="http://schemas.openxmlformats.org/officeDocument/2006/relationships/hyperlink" Target="https://drive.google.com/file/d/1BeIIyRQ_G0YnjT4pPlPZt2_ptBLkAOob/view?usp=share_link" TargetMode="External"/><Relationship Id="rId64" Type="http://schemas.openxmlformats.org/officeDocument/2006/relationships/hyperlink" Target="https://drive.google.com/file/d/1D9xFrX4ySAnZS1yahA8nPQisD38IphgD/view?usp=share_link" TargetMode="External"/><Relationship Id="rId63" Type="http://schemas.openxmlformats.org/officeDocument/2006/relationships/hyperlink" Target="https://drive.google.com/file/d/1afk_ayY06-2HN2VfK4gMiiSWuo_YuTdl/view?usp=share_link" TargetMode="External"/><Relationship Id="rId66" Type="http://schemas.openxmlformats.org/officeDocument/2006/relationships/hyperlink" Target="https://drive.google.com/file/d/1pSc9I5pa6N_V46BCmDe_keAWVVdvl7tK/view?usp=share_link" TargetMode="External"/><Relationship Id="rId65" Type="http://schemas.openxmlformats.org/officeDocument/2006/relationships/hyperlink" Target="https://drive.google.com/file/d/1ViGxdbGwkyFYf06zQGHcy--eEGH7l_tN/view?usp=share_link" TargetMode="External"/><Relationship Id="rId68" Type="http://schemas.openxmlformats.org/officeDocument/2006/relationships/hyperlink" Target="https://drive.google.com/file/d/1mZJumCh0iYvxgQ3-h9D9T4wu2WrxNXVX/view?usp=share_link" TargetMode="External"/><Relationship Id="rId67" Type="http://schemas.openxmlformats.org/officeDocument/2006/relationships/hyperlink" Target="https://drive.google.com/file/d/1CyEENDujrZ7gyg_rncY43rJeNK6UxTTt/view?usp=share_link" TargetMode="External"/><Relationship Id="rId60" Type="http://schemas.openxmlformats.org/officeDocument/2006/relationships/hyperlink" Target="https://drive.google.com/file/d/1-Xky4Mq8V9TFPZNz1QdTBAmV9fRX1Zj4/view?usp=share_link" TargetMode="External"/><Relationship Id="rId69" Type="http://schemas.openxmlformats.org/officeDocument/2006/relationships/hyperlink" Target="https://drive.google.com/file/d/1RjEjYJ1HgGLGo6uGqyw8gVJ_qpw7EzEb/view?usp=share_link" TargetMode="External"/><Relationship Id="rId51" Type="http://schemas.openxmlformats.org/officeDocument/2006/relationships/hyperlink" Target="https://drive.google.com/file/d/1A5OIRMYa-o3zjC5rF74sR53oKJ6QmBQX/view?usp=share_link" TargetMode="External"/><Relationship Id="rId50" Type="http://schemas.openxmlformats.org/officeDocument/2006/relationships/hyperlink" Target="https://drive.google.com/file/d/1GvrQ9ff2suUcWeulmvNfMK8jECUaRpm_/view?usp=share_link" TargetMode="External"/><Relationship Id="rId53" Type="http://schemas.openxmlformats.org/officeDocument/2006/relationships/hyperlink" Target="https://drive.google.com/file/d/1umDHyM3oBdP_zrrpC5U8tOl4rtAGAn9l/view?usp=share_link" TargetMode="External"/><Relationship Id="rId52" Type="http://schemas.openxmlformats.org/officeDocument/2006/relationships/hyperlink" Target="https://drive.google.com/file/d/1Zidp05HLnYLwghcd8mts23Jmp0VQcUNj/view?usp=share_link" TargetMode="External"/><Relationship Id="rId55" Type="http://schemas.openxmlformats.org/officeDocument/2006/relationships/hyperlink" Target="https://drive.google.com/file/d/1V8VtpFTpiwovjFPYrA5fZirBN_jh5kYZ/view?usp=share_link" TargetMode="External"/><Relationship Id="rId54" Type="http://schemas.openxmlformats.org/officeDocument/2006/relationships/hyperlink" Target="https://drive.google.com/file/d/1L1Olhs3KKLJ9iC2WcCJ8OBnvJG0ZtORI/view?usp=share_link" TargetMode="External"/><Relationship Id="rId57" Type="http://schemas.openxmlformats.org/officeDocument/2006/relationships/hyperlink" Target="https://drive.google.com/file/d/1r6BdpIn5dkmC8SpSJVGfUHOggkEu3vst/view?usp=share_link" TargetMode="External"/><Relationship Id="rId56" Type="http://schemas.openxmlformats.org/officeDocument/2006/relationships/hyperlink" Target="https://drive.google.com/file/d/18t-ZTwarNy6BDl_VPwqOrl47EdxADkGR/view?usp=share_link" TargetMode="External"/><Relationship Id="rId59" Type="http://schemas.openxmlformats.org/officeDocument/2006/relationships/hyperlink" Target="https://drive.google.com/file/d/1izVGYUQHLsX-hZ4OZgh9n8EWXXisQbdI/view?usp=share_link" TargetMode="External"/><Relationship Id="rId58" Type="http://schemas.openxmlformats.org/officeDocument/2006/relationships/hyperlink" Target="https://drive.google.com/file/d/1J70sjKNhuLIRcjFLkmlPY-Qm8GpRZmVa/view?usp=shar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jGaIzQ6G4w9ztPz72oEWW0eKn9_3nO3/view?usp=share_link" TargetMode="External"/><Relationship Id="rId42" Type="http://schemas.openxmlformats.org/officeDocument/2006/relationships/hyperlink" Target="https://drive.google.com/file/d/1vH_xpMqnbwpstejWbIpFTFvma6cW8DZd/view?usp=share_link" TargetMode="External"/><Relationship Id="rId41" Type="http://schemas.openxmlformats.org/officeDocument/2006/relationships/hyperlink" Target="https://drive.google.com/file/d/1cTIrvx0t20cmrKWPfk13-uyBlCoLHASV/view?usp=share_link" TargetMode="External"/><Relationship Id="rId44" Type="http://schemas.openxmlformats.org/officeDocument/2006/relationships/hyperlink" Target="https://drive.google.com/file/d/1RCAhd4jei3fayAHR-n8BneHTLgaj6Vr-/view?usp=share_link" TargetMode="External"/><Relationship Id="rId43" Type="http://schemas.openxmlformats.org/officeDocument/2006/relationships/hyperlink" Target="https://drive.google.com/file/d/1X-09YJp6i44dam5A_swXtAQFSNDQTQQ1/view?usp=share_link" TargetMode="External"/><Relationship Id="rId46" Type="http://schemas.openxmlformats.org/officeDocument/2006/relationships/hyperlink" Target="https://drive.google.com/file/d/1s35KeVXgGLUMO3TNRJXGB1M6qG3afG2O/view?usp=share_link" TargetMode="External"/><Relationship Id="rId45" Type="http://schemas.openxmlformats.org/officeDocument/2006/relationships/hyperlink" Target="https://drive.google.com/file/d/1Yxjpl9Nr24uTmXa6miDR2uOreDN5n0QX/view?usp=share_link" TargetMode="External"/><Relationship Id="rId48" Type="http://schemas.openxmlformats.org/officeDocument/2006/relationships/hyperlink" Target="https://drive.google.com/file/d/1Va0N2On65xSe2NAqqmUL2wKCzAJWAPo-/view?usp=share_link" TargetMode="External"/><Relationship Id="rId47" Type="http://schemas.openxmlformats.org/officeDocument/2006/relationships/hyperlink" Target="https://drive.google.com/file/d/17XleDGAMkfNQ9josH-vHTxUemX8v9kuM/view?usp=share_link" TargetMode="External"/><Relationship Id="rId49" Type="http://schemas.openxmlformats.org/officeDocument/2006/relationships/hyperlink" Target="https://drive.google.com/file/d/12AMnrPwzgvCnfIscJYZTR1taQfFlwGVl/view?usp=share_link" TargetMode="External"/><Relationship Id="rId31" Type="http://schemas.openxmlformats.org/officeDocument/2006/relationships/hyperlink" Target="https://drive.google.com/file/d/1jN98XYjsJOU1V3-yBVnPUkAkydyqBIDA/view?usp=share_link" TargetMode="External"/><Relationship Id="rId30" Type="http://schemas.openxmlformats.org/officeDocument/2006/relationships/hyperlink" Target="https://drive.google.com/file/d/1y0XUz49ttruxkmQmQTF3p0jSqqTd_T0i/view?usp=share_link" TargetMode="External"/><Relationship Id="rId33" Type="http://schemas.openxmlformats.org/officeDocument/2006/relationships/hyperlink" Target="https://drive.google.com/file/d/11NB9joOC1tf6Zj1wmXqrDHz_azPZhB5I/view?usp=share_link" TargetMode="External"/><Relationship Id="rId32" Type="http://schemas.openxmlformats.org/officeDocument/2006/relationships/hyperlink" Target="https://drive.google.com/file/d/1mmOPRNoPzc2o2CyOqfFwZvMvhQXtfIfO/view?usp=share_link" TargetMode="External"/><Relationship Id="rId35" Type="http://schemas.openxmlformats.org/officeDocument/2006/relationships/hyperlink" Target="https://drive.google.com/file/d/1kI-bU8p_bISHuoMqnI3O71QbaFFC38Yc/view?usp=share_link" TargetMode="External"/><Relationship Id="rId34" Type="http://schemas.openxmlformats.org/officeDocument/2006/relationships/hyperlink" Target="https://drive.google.com/file/d/1E2aYNh0g9GjcK_ZwtWgc5NzixCa2dgTl/view?usp=share_link" TargetMode="External"/><Relationship Id="rId37" Type="http://schemas.openxmlformats.org/officeDocument/2006/relationships/hyperlink" Target="https://drive.google.com/file/d/1GapAV-EBTw-YpZs7PpqPoL4W_m8TeLqF/view?usp=share_link" TargetMode="External"/><Relationship Id="rId36" Type="http://schemas.openxmlformats.org/officeDocument/2006/relationships/hyperlink" Target="https://drive.google.com/file/d/1kwxFKVuPkIn-VYQCpQGoBK24vPm0FrJP/view?usp=share_link" TargetMode="External"/><Relationship Id="rId39" Type="http://schemas.openxmlformats.org/officeDocument/2006/relationships/hyperlink" Target="https://drive.google.com/file/d/1GbSMlZszxA9mLcNdI5Uk95jZOn6NAzlQ/view?usp=share_link" TargetMode="External"/><Relationship Id="rId38" Type="http://schemas.openxmlformats.org/officeDocument/2006/relationships/hyperlink" Target="https://drive.google.com/file/d/1GX-WNTaMcB7E8u6gDYLb2t8Ip85ExVZK/view?usp=share_link" TargetMode="External"/><Relationship Id="rId20" Type="http://schemas.openxmlformats.org/officeDocument/2006/relationships/hyperlink" Target="https://drive.google.com/file/d/15XlAWIt8yeE1z2pnDfqfUmK7zY1ZjS-I/view?usp=share_link" TargetMode="External"/><Relationship Id="rId22" Type="http://schemas.openxmlformats.org/officeDocument/2006/relationships/hyperlink" Target="https://drive.google.com/file/d/1gcufEKsyr2P_rfnUBPAFbHoDTFaZOZZG/view?usp=share_link" TargetMode="External"/><Relationship Id="rId21" Type="http://schemas.openxmlformats.org/officeDocument/2006/relationships/hyperlink" Target="https://drive.google.com/file/d/1YA4OTXlwk9b_GV-ZUcLp-D86lLRAji77/view?usp=share_link" TargetMode="External"/><Relationship Id="rId24" Type="http://schemas.openxmlformats.org/officeDocument/2006/relationships/hyperlink" Target="https://drive.google.com/file/d/13h43O-vh843CCRfg_FpMiQ56lsoleV59/view?usp=share_link" TargetMode="External"/><Relationship Id="rId23" Type="http://schemas.openxmlformats.org/officeDocument/2006/relationships/hyperlink" Target="https://drive.google.com/file/d/1fb4YKqvxRUv_gRKvXlIL6ncqZEtQQ0CX/view?usp=share_link" TargetMode="External"/><Relationship Id="rId26" Type="http://schemas.openxmlformats.org/officeDocument/2006/relationships/hyperlink" Target="https://drive.google.com/file/d/1WqplRGTHqRk1GbqxOlSfN7yqoMDmPb2x/view?usp=share_link" TargetMode="External"/><Relationship Id="rId25" Type="http://schemas.openxmlformats.org/officeDocument/2006/relationships/hyperlink" Target="https://drive.google.com/file/d/1Yj_Xs4vwvNh0FFP4QpiwAKoFU4jNmn1K/view?usp=share_link" TargetMode="External"/><Relationship Id="rId28" Type="http://schemas.openxmlformats.org/officeDocument/2006/relationships/hyperlink" Target="https://drive.google.com/file/d/1oBr2hMeybSXmlRWTcL0ze7qq6gA7v4qy/view?usp=share_link" TargetMode="External"/><Relationship Id="rId27" Type="http://schemas.openxmlformats.org/officeDocument/2006/relationships/hyperlink" Target="https://drive.google.com/file/d/14n32jfnwDyhU7aKhE6wqRqDMLyVLJV27/view?usp=share_link" TargetMode="External"/><Relationship Id="rId29" Type="http://schemas.openxmlformats.org/officeDocument/2006/relationships/hyperlink" Target="https://drive.google.com/file/d/1kvFWtAGDq0SplDoqcvoxapHeqFcjQd7D/view?usp=share_link" TargetMode="External"/><Relationship Id="rId11" Type="http://schemas.openxmlformats.org/officeDocument/2006/relationships/hyperlink" Target="https://drive.google.com/file/d/1YSbMxMpuEqQShRJb_Q1Nr4amKwBbU8ry/view?usp=share_link" TargetMode="External"/><Relationship Id="rId10" Type="http://schemas.openxmlformats.org/officeDocument/2006/relationships/hyperlink" Target="https://drive.google.com/file/d/1pNzzxMBG-TTZvl7FHO8fKBu8UsAijJrl/view?usp=share_link" TargetMode="External"/><Relationship Id="rId13" Type="http://schemas.openxmlformats.org/officeDocument/2006/relationships/hyperlink" Target="https://drive.google.com/file/d/14BBHV2j1ZBhntJ0GaOvDFAvp5ohGm85j/view?usp=share_link" TargetMode="External"/><Relationship Id="rId12" Type="http://schemas.openxmlformats.org/officeDocument/2006/relationships/hyperlink" Target="https://drive.google.com/file/d/1lHZWsafk59pW3YUD9iS3zDnuLlyCtTpE/view?usp=share_link" TargetMode="External"/><Relationship Id="rId15" Type="http://schemas.openxmlformats.org/officeDocument/2006/relationships/hyperlink" Target="https://drive.google.com/file/d/1r4dXaBpUauYUL7jfKBacMjzeXOT8Y8do/view?usp=share_link" TargetMode="External"/><Relationship Id="rId14" Type="http://schemas.openxmlformats.org/officeDocument/2006/relationships/hyperlink" Target="https://drive.google.com/file/d/1WBF3xyvHZbIHvSsxCzbz6mS7HqZmPxBt/view?usp=share_link" TargetMode="External"/><Relationship Id="rId17" Type="http://schemas.openxmlformats.org/officeDocument/2006/relationships/hyperlink" Target="https://drive.google.com/file/d/1edTytBGSbJAzukYGyAUIJlrrm9jDt7Fi/view?usp=share_link" TargetMode="External"/><Relationship Id="rId16" Type="http://schemas.openxmlformats.org/officeDocument/2006/relationships/hyperlink" Target="https://drive.google.com/file/d/16PapVv5HhZGnjHHLvSpR7E4wGmh8xoSe/view?usp=share_link" TargetMode="External"/><Relationship Id="rId19" Type="http://schemas.openxmlformats.org/officeDocument/2006/relationships/hyperlink" Target="https://drive.google.com/file/d/1wn7g8r-P8BubEzHf3ChHgEmaGo0oKVQ4/view?usp=share_link" TargetMode="External"/><Relationship Id="rId18" Type="http://schemas.openxmlformats.org/officeDocument/2006/relationships/hyperlink" Target="https://drive.google.com/file/d/1I_nGnRPqk3pNooaHdXJZGK2Q7FBAWAGy/view?usp=share_link" TargetMode="External"/><Relationship Id="rId1" Type="http://schemas.openxmlformats.org/officeDocument/2006/relationships/hyperlink" Target="https://drive.google.com/file/d/1ymNbhUOU6vIOl_f7XK7XJrWHGLMyjmIP/view?usp=share_link" TargetMode="External"/><Relationship Id="rId2" Type="http://schemas.openxmlformats.org/officeDocument/2006/relationships/hyperlink" Target="https://drive.google.com/file/d/1T5IroeS14yOqGubk9m64gmTNAKG9bXtP/view?usp=share_link" TargetMode="External"/><Relationship Id="rId3" Type="http://schemas.openxmlformats.org/officeDocument/2006/relationships/hyperlink" Target="https://drive.google.com/file/d/1SfMmQg6IIM6F_tHVSibQLU3jinRQC1o0/view?usp=share_link" TargetMode="External"/><Relationship Id="rId4" Type="http://schemas.openxmlformats.org/officeDocument/2006/relationships/hyperlink" Target="https://drive.google.com/file/d/1jfBs8TqM52VlDdL7RpbgIzoBGEyLSnUm/view?usp=share_link" TargetMode="External"/><Relationship Id="rId9" Type="http://schemas.openxmlformats.org/officeDocument/2006/relationships/hyperlink" Target="https://drive.google.com/file/d/1IVEeHI-hjAXZKeqzPhQ3TAWWqdqWsvAr/view?usp=share_link" TargetMode="External"/><Relationship Id="rId5" Type="http://schemas.openxmlformats.org/officeDocument/2006/relationships/hyperlink" Target="https://drive.google.com/file/d/1oqUPdOb262oP7Q7aA0tcFY4uJkuqL_EI/view?usp=share_link" TargetMode="External"/><Relationship Id="rId6" Type="http://schemas.openxmlformats.org/officeDocument/2006/relationships/hyperlink" Target="https://drive.google.com/file/d/1eks02fnp4tQhD0ou8qPvl09dL_hUf_Tq/view?usp=share_link" TargetMode="External"/><Relationship Id="rId7" Type="http://schemas.openxmlformats.org/officeDocument/2006/relationships/hyperlink" Target="https://drive.google.com/file/d/1Ql4V5I3gADsHK8e2BV1Yz4x0qT1zu9aj/view?usp=share_link" TargetMode="External"/><Relationship Id="rId8" Type="http://schemas.openxmlformats.org/officeDocument/2006/relationships/hyperlink" Target="https://drive.google.com/file/d/1VPRlB8RaIXdjjfPr5dZAVbNH39oMUnVT/view?usp=share_link" TargetMode="External"/><Relationship Id="rId51" Type="http://schemas.openxmlformats.org/officeDocument/2006/relationships/hyperlink" Target="https://drive.google.com/file/d/1XIBLZEu1lnJ9c-7nnTPpsjL2qggc3UUm/view?usp=share_link" TargetMode="External"/><Relationship Id="rId50" Type="http://schemas.openxmlformats.org/officeDocument/2006/relationships/hyperlink" Target="https://drive.google.com/file/d/1UlkplQfJ7j5qCZAcY9dB3rIMT1-7vdrX/view?usp=share_link" TargetMode="External"/><Relationship Id="rId53" Type="http://schemas.openxmlformats.org/officeDocument/2006/relationships/hyperlink" Target="https://drive.google.com/file/d/1xMkS-zicv1WEy72mJt5r_47_QJco3Sw2/view?usp=share_link" TargetMode="External"/><Relationship Id="rId52" Type="http://schemas.openxmlformats.org/officeDocument/2006/relationships/hyperlink" Target="https://drive.google.com/file/d/1gcIqdwrCYlK4LQ2saiH3rwA5wYYAL7vV/view?usp=share_link" TargetMode="External"/><Relationship Id="rId55" Type="http://schemas.openxmlformats.org/officeDocument/2006/relationships/hyperlink" Target="https://drive.google.com/file/d/19k7-UlAMXf5JYjioDa6DQWSsqqme86pJ/view?usp=share_link" TargetMode="External"/><Relationship Id="rId54" Type="http://schemas.openxmlformats.org/officeDocument/2006/relationships/hyperlink" Target="https://drive.google.com/file/d/1xMkS-zicv1WEy72mJt5r_47_QJco3Sw2/view?usp=share_link" TargetMode="External"/><Relationship Id="rId57" Type="http://schemas.openxmlformats.org/officeDocument/2006/relationships/hyperlink" Target="https://drive.google.com/file/d/1ZgNOL6QiDQl0nCUOeyHEPQhRmNxsVI6v/view?usp=share_link" TargetMode="External"/><Relationship Id="rId56" Type="http://schemas.openxmlformats.org/officeDocument/2006/relationships/hyperlink" Target="https://drive.google.com/file/d/14jUG2NYrAxshqNYIcCzd0BR9ZmPN8uo7/view?usp=share_link" TargetMode="External"/><Relationship Id="rId59" Type="http://schemas.openxmlformats.org/officeDocument/2006/relationships/drawing" Target="../drawings/drawing5.xml"/><Relationship Id="rId58" Type="http://schemas.openxmlformats.org/officeDocument/2006/relationships/hyperlink" Target="https://drive.google.com/file/d/1vxZaYQ80eVonmlh3JK3vg4htJfKvjkEe/view?usp=share_link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62PApMqHeCJJ4k1gyW3d_MYjLjCOdNf/view?usp=share_link" TargetMode="External"/><Relationship Id="rId42" Type="http://schemas.openxmlformats.org/officeDocument/2006/relationships/hyperlink" Target="https://drive.google.com/file/d/1MRzvzB-BScXRXuq4r-usRjsLWtdQU9VK/view?usp=share_link" TargetMode="External"/><Relationship Id="rId41" Type="http://schemas.openxmlformats.org/officeDocument/2006/relationships/hyperlink" Target="https://drive.google.com/file/d/1MRzvzB-BScXRXuq4r-usRjsLWtdQU9VK/view?usp=share_link" TargetMode="External"/><Relationship Id="rId44" Type="http://schemas.openxmlformats.org/officeDocument/2006/relationships/hyperlink" Target="https://drive.google.com/file/d/1ai2XVPXlZ4pvxoRkkdSQKnVKDn4WtCB_/view?usp=share_link" TargetMode="External"/><Relationship Id="rId43" Type="http://schemas.openxmlformats.org/officeDocument/2006/relationships/hyperlink" Target="https://drive.google.com/file/d/1jxaamvL2WrtoB1P8RRLMBQCBZhf0B5Ny/view?usp=share_link" TargetMode="External"/><Relationship Id="rId46" Type="http://schemas.openxmlformats.org/officeDocument/2006/relationships/hyperlink" Target="https://drive.google.com/file/d/1r362alWSwFZxhXQIBHSpIfkssWAq3H5C/view?usp=share_link" TargetMode="External"/><Relationship Id="rId45" Type="http://schemas.openxmlformats.org/officeDocument/2006/relationships/hyperlink" Target="https://drive.google.com/file/d/1q4t_pdLi1P70PvBYZOGZkNhJKZY6TsLX/view?usp=share_link" TargetMode="External"/><Relationship Id="rId107" Type="http://schemas.openxmlformats.org/officeDocument/2006/relationships/hyperlink" Target="https://drive.google.com/file/d/1KXMsON7AU_Jkhhd6r1zk0nlRTqoIpgZ8/view?usp=share_link" TargetMode="External"/><Relationship Id="rId106" Type="http://schemas.openxmlformats.org/officeDocument/2006/relationships/hyperlink" Target="https://drive.google.com/file/d/1O2n_qTlTxw-u26NDCRkmEAlz0D-6KVT3/view?usp=share_link" TargetMode="External"/><Relationship Id="rId105" Type="http://schemas.openxmlformats.org/officeDocument/2006/relationships/hyperlink" Target="https://drive.google.com/file/d/1mRxAGtCD2DSkGrnu8AjIRdSMUyuxeECd/view?usp=share_link" TargetMode="External"/><Relationship Id="rId104" Type="http://schemas.openxmlformats.org/officeDocument/2006/relationships/hyperlink" Target="https://drive.google.com/file/d/1FLD27bmTX6pmD6tp-_lhfGjrYyowriio/view?usp=share_link" TargetMode="External"/><Relationship Id="rId109" Type="http://schemas.openxmlformats.org/officeDocument/2006/relationships/hyperlink" Target="https://drive.google.com/file/d/1X4XqUFoDDBXB9W_81IiVSBg75pmpnLW1/view?usp=share_link" TargetMode="External"/><Relationship Id="rId108" Type="http://schemas.openxmlformats.org/officeDocument/2006/relationships/hyperlink" Target="https://drive.google.com/file/d/1uyf70ojFaMO7WqgKHLqeUpoQ77K6vcbC/view?usp=share_link" TargetMode="External"/><Relationship Id="rId48" Type="http://schemas.openxmlformats.org/officeDocument/2006/relationships/hyperlink" Target="https://drive.google.com/file/d/1tVCMaq6fSiHxX0ox_c-9EYiHRDwvI4nA/view?usp=share_link" TargetMode="External"/><Relationship Id="rId47" Type="http://schemas.openxmlformats.org/officeDocument/2006/relationships/hyperlink" Target="https://drive.google.com/file/d/1Uzq7u7N2CBr7wykc8TwQf8vhPcl60sBx/view?usp=share_link" TargetMode="External"/><Relationship Id="rId49" Type="http://schemas.openxmlformats.org/officeDocument/2006/relationships/hyperlink" Target="https://drive.google.com/file/d/14eLHgrCaEq-9_Oui4vCFZQDzEUlzskSI/view?usp=share_link" TargetMode="External"/><Relationship Id="rId103" Type="http://schemas.openxmlformats.org/officeDocument/2006/relationships/hyperlink" Target="https://drive.google.com/file/d/1IlYzo9FN4j9i05bQms4Pca0fEcJrxoFx/view?usp=share_link" TargetMode="External"/><Relationship Id="rId102" Type="http://schemas.openxmlformats.org/officeDocument/2006/relationships/hyperlink" Target="https://drive.google.com/file/d/19gk_OrIiRHlhiwk7sz9Tb5fSl884zwQY/view?usp=share_link" TargetMode="External"/><Relationship Id="rId101" Type="http://schemas.openxmlformats.org/officeDocument/2006/relationships/hyperlink" Target="https://drive.google.com/file/d/1BW158Dz7uYhckZv18Qb4zOHYrVKzpFog/view?usp=share_link" TargetMode="External"/><Relationship Id="rId100" Type="http://schemas.openxmlformats.org/officeDocument/2006/relationships/hyperlink" Target="https://drive.google.com/file/d/1C6LFnhsRFiZh90ITLvOMxXpX_k2_KrwX/view?usp=share_link" TargetMode="External"/><Relationship Id="rId31" Type="http://schemas.openxmlformats.org/officeDocument/2006/relationships/hyperlink" Target="https://drive.google.com/file/d/1e4WBX_3iVbp3qZzZ3mxUIxZGsApulsak/view?usp=share_link" TargetMode="External"/><Relationship Id="rId30" Type="http://schemas.openxmlformats.org/officeDocument/2006/relationships/hyperlink" Target="https://drive.google.com/file/d/1N90YWsWiRfmNfouFypbyOwI_y3Q1ZPXh/view?usp=share_link" TargetMode="External"/><Relationship Id="rId33" Type="http://schemas.openxmlformats.org/officeDocument/2006/relationships/hyperlink" Target="https://drive.google.com/file/d/1V26_P-mLQ1P9k3coqU2_o69MXEIs6dex/view?usp=share_link" TargetMode="External"/><Relationship Id="rId32" Type="http://schemas.openxmlformats.org/officeDocument/2006/relationships/hyperlink" Target="https://drive.google.com/file/d/1PhmeBjV4wOdO9AltXF6590h0avM9X9Pk/view?usp=share_link" TargetMode="External"/><Relationship Id="rId35" Type="http://schemas.openxmlformats.org/officeDocument/2006/relationships/hyperlink" Target="https://drive.google.com/file/d/1ZOnluQoJ-J840dZ0FdOkSiHJZfiscEgq/view?usp=share_link" TargetMode="External"/><Relationship Id="rId34" Type="http://schemas.openxmlformats.org/officeDocument/2006/relationships/hyperlink" Target="https://drive.google.com/file/d/195aoZdwyY0z4iUuUIrdLVLiYadPxY9sj/view?usp=share_link" TargetMode="External"/><Relationship Id="rId37" Type="http://schemas.openxmlformats.org/officeDocument/2006/relationships/hyperlink" Target="https://drive.google.com/file/d/1x59aUwwqHn5IqFXWf3Z8HawZbyb-DSKS/view?usp=share_link" TargetMode="External"/><Relationship Id="rId36" Type="http://schemas.openxmlformats.org/officeDocument/2006/relationships/hyperlink" Target="https://drive.google.com/file/d/1E_IZmW4EmAxRVd43MKYtts78M1kkU763/view?usp=share_link" TargetMode="External"/><Relationship Id="rId39" Type="http://schemas.openxmlformats.org/officeDocument/2006/relationships/hyperlink" Target="https://drive.google.com/file/d/1jxge4e4tqLOm9PAOCGhkTLHlRYyyHrWb/view?usp=share_link" TargetMode="External"/><Relationship Id="rId38" Type="http://schemas.openxmlformats.org/officeDocument/2006/relationships/hyperlink" Target="https://drive.google.com/file/d/1oDq5d0TJQUZEALaDuRMmFxoEeG8jxHXH/view?usp=share_link" TargetMode="External"/><Relationship Id="rId20" Type="http://schemas.openxmlformats.org/officeDocument/2006/relationships/hyperlink" Target="https://drive.google.com/file/d/12eRazeg0vTQ7Ep9Iujb9BJTXLQbEpKFN/view?usp=share_link" TargetMode="External"/><Relationship Id="rId22" Type="http://schemas.openxmlformats.org/officeDocument/2006/relationships/hyperlink" Target="https://drive.google.com/file/d/18CWI65_2o9Hq57XniUmsTf-UEN9a-4R2/view?usp=share_link" TargetMode="External"/><Relationship Id="rId21" Type="http://schemas.openxmlformats.org/officeDocument/2006/relationships/hyperlink" Target="https://drive.google.com/file/d/18CWI65_2o9Hq57XniUmsTf-UEN9a-4R2/view?usp=share_link" TargetMode="External"/><Relationship Id="rId24" Type="http://schemas.openxmlformats.org/officeDocument/2006/relationships/hyperlink" Target="https://drive.google.com/file/d/1sopFMwWvf8lQZ3D9_oNyiGkXmkgCkrMF/view?usp=share_link" TargetMode="External"/><Relationship Id="rId23" Type="http://schemas.openxmlformats.org/officeDocument/2006/relationships/hyperlink" Target="https://drive.google.com/file/d/1WqCnFPEdStecXXlrLjbwnOCGnj_Eg3-c/view?usp=share_link" TargetMode="External"/><Relationship Id="rId129" Type="http://schemas.openxmlformats.org/officeDocument/2006/relationships/hyperlink" Target="https://drive.google.com/file/d/1ViGxdbGwkyFYf06zQGHcy--eEGH7l_tN/view?usp=share_link" TargetMode="External"/><Relationship Id="rId128" Type="http://schemas.openxmlformats.org/officeDocument/2006/relationships/hyperlink" Target="https://drive.google.com/file/d/1-mg6s9ilG745tIytYLCjoqq9VxP9wPZ4/view?usp=share_link" TargetMode="External"/><Relationship Id="rId127" Type="http://schemas.openxmlformats.org/officeDocument/2006/relationships/hyperlink" Target="https://drive.google.com/file/d/1sCrT_BOgxK-HXOKiKdf7r7HIDdqGt8uE/view?usp=share_link" TargetMode="External"/><Relationship Id="rId126" Type="http://schemas.openxmlformats.org/officeDocument/2006/relationships/hyperlink" Target="https://drive.google.com/file/d/1feR6zOC84W8N5kL7KjwYkiK4YKFkU_h_/view?usp=share_link" TargetMode="External"/><Relationship Id="rId26" Type="http://schemas.openxmlformats.org/officeDocument/2006/relationships/hyperlink" Target="https://drive.google.com/file/d/122rx9RilbyfxVkc5G7G4UWNtZ3ZXnUl9/view?usp=share_link" TargetMode="External"/><Relationship Id="rId121" Type="http://schemas.openxmlformats.org/officeDocument/2006/relationships/hyperlink" Target="https://drive.google.com/file/d/1Yz8txjqSvO5Ziy0qOeR24KOOrp1RYyh6/view?usp=share_link" TargetMode="External"/><Relationship Id="rId25" Type="http://schemas.openxmlformats.org/officeDocument/2006/relationships/hyperlink" Target="https://drive.google.com/file/d/1XowFFUQhj_kh5uKJDUCwa4JMxHFC60ut/view?usp=share_link" TargetMode="External"/><Relationship Id="rId120" Type="http://schemas.openxmlformats.org/officeDocument/2006/relationships/hyperlink" Target="https://drive.google.com/file/d/1WwBcxqzRX5UtvVzLtoq-a79P4K-J25s6/view?usp=share_link" TargetMode="External"/><Relationship Id="rId28" Type="http://schemas.openxmlformats.org/officeDocument/2006/relationships/hyperlink" Target="https://drive.google.com/file/d/10FPebhUQFKf0j7rvE-oxOHl8TMhICpNH/view?usp=share_link" TargetMode="External"/><Relationship Id="rId27" Type="http://schemas.openxmlformats.org/officeDocument/2006/relationships/hyperlink" Target="https://drive.google.com/file/d/14oxiic2aScC8yjmjqcjbRSzy1112cWcz/view?usp=share_link" TargetMode="External"/><Relationship Id="rId125" Type="http://schemas.openxmlformats.org/officeDocument/2006/relationships/hyperlink" Target="https://drive.google.com/file/d/1ihcV4JnWQIFr2eFoV-lqouGFt1Ft5km4/view?usp=share_link" TargetMode="External"/><Relationship Id="rId29" Type="http://schemas.openxmlformats.org/officeDocument/2006/relationships/hyperlink" Target="https://drive.google.com/file/d/1zS7OFNOQ2_Im8a6xrIvXtQiud_3nfuZC/view?usp=share_link" TargetMode="External"/><Relationship Id="rId124" Type="http://schemas.openxmlformats.org/officeDocument/2006/relationships/hyperlink" Target="https://drive.google.com/file/d/18z5iY9ALdSM1N4jck4ZkmjrwtqNfVZWE/view?usp=share_link" TargetMode="External"/><Relationship Id="rId123" Type="http://schemas.openxmlformats.org/officeDocument/2006/relationships/hyperlink" Target="https://drive.google.com/file/d/1zz6vlxjCclu4GcrsS91_rmOnwKwyIM5s/view?usp=share_link" TargetMode="External"/><Relationship Id="rId122" Type="http://schemas.openxmlformats.org/officeDocument/2006/relationships/hyperlink" Target="https://drive.google.com/file/d/1xh00Anooqsp0N87HFa9iRjjUAYIJI72Y/view?usp=share_link" TargetMode="External"/><Relationship Id="rId95" Type="http://schemas.openxmlformats.org/officeDocument/2006/relationships/hyperlink" Target="https://drive.google.com/file/d/1H93EGSH54NHtSNH5D2lq6sWJrOyHYYfC/view?usp=share_link" TargetMode="External"/><Relationship Id="rId94" Type="http://schemas.openxmlformats.org/officeDocument/2006/relationships/hyperlink" Target="https://drive.google.com/file/d/1q0siKnJJTAq-Iss8jLHzBIts_-r1jea5/view?usp=share_link" TargetMode="External"/><Relationship Id="rId97" Type="http://schemas.openxmlformats.org/officeDocument/2006/relationships/hyperlink" Target="https://drive.google.com/file/d/1g2D-T9dCtrkPUiEIdaGdBIvUgTPUNRfn/view?usp=share_link" TargetMode="External"/><Relationship Id="rId96" Type="http://schemas.openxmlformats.org/officeDocument/2006/relationships/hyperlink" Target="https://drive.google.com/file/d/1_bE6zU0U65NBnzrqNs93qTzodU_q9BMF/view?usp=share_link" TargetMode="External"/><Relationship Id="rId11" Type="http://schemas.openxmlformats.org/officeDocument/2006/relationships/hyperlink" Target="https://drive.google.com/file/d/1elNCN0zSt6C4s8U4bRib6lRPwCNj6NMd/view?usp=share_link" TargetMode="External"/><Relationship Id="rId99" Type="http://schemas.openxmlformats.org/officeDocument/2006/relationships/hyperlink" Target="https://drive.google.com/file/d/1HH2my8U0EVOKaB9gHnlVdO9kCIr7IdqU/view?usp=share_link" TargetMode="External"/><Relationship Id="rId10" Type="http://schemas.openxmlformats.org/officeDocument/2006/relationships/hyperlink" Target="https://drive.google.com/file/d/1kvTKn6aVEjwokFeekMWAHx3znou12dVe/view?usp=share_link" TargetMode="External"/><Relationship Id="rId98" Type="http://schemas.openxmlformats.org/officeDocument/2006/relationships/hyperlink" Target="https://drive.google.com/file/d/10DHazBG-YhyLH-fvmI9CfxYleEbHDm0E/view?usp=share_link" TargetMode="External"/><Relationship Id="rId13" Type="http://schemas.openxmlformats.org/officeDocument/2006/relationships/hyperlink" Target="https://drive.google.com/file/d/1YwLk27qzF8UOJYo59mhf5naZfssNHytQ/view?usp=share_link" TargetMode="External"/><Relationship Id="rId12" Type="http://schemas.openxmlformats.org/officeDocument/2006/relationships/hyperlink" Target="https://drive.google.com/file/d/1qEP3EAO4V9pHQbDfX-7Y6z_4tIwHVvJc/view?usp=share_link" TargetMode="External"/><Relationship Id="rId91" Type="http://schemas.openxmlformats.org/officeDocument/2006/relationships/hyperlink" Target="https://drive.google.com/file/d/1b4LZjY3pIYXO-ghW0aJVYJUCuxWmBt8Q/view?usp=share_link" TargetMode="External"/><Relationship Id="rId90" Type="http://schemas.openxmlformats.org/officeDocument/2006/relationships/hyperlink" Target="https://drive.google.com/file/d/1zxXlJuHazc-sgzr2VnVLusXd0Uk629vV/view?usp=share_link" TargetMode="External"/><Relationship Id="rId93" Type="http://schemas.openxmlformats.org/officeDocument/2006/relationships/hyperlink" Target="https://drive.google.com/file/d/1eToqXXkOhq08asOkcge1T0wu-AX1rsGP/view?usp=share_link" TargetMode="External"/><Relationship Id="rId92" Type="http://schemas.openxmlformats.org/officeDocument/2006/relationships/hyperlink" Target="https://drive.google.com/file/d/1ZIY6_g9D8m5UHSgjb9f7xYI6rKaSwTJK/view?usp=share_link" TargetMode="External"/><Relationship Id="rId118" Type="http://schemas.openxmlformats.org/officeDocument/2006/relationships/hyperlink" Target="https://drive.google.com/file/d/1-CTVVHYZEF6qw8-h1UglAvN5rsy_Kf4B/view?usp=share_link" TargetMode="External"/><Relationship Id="rId117" Type="http://schemas.openxmlformats.org/officeDocument/2006/relationships/hyperlink" Target="https://drive.google.com/file/d/1Ue9qBFbcybdspJTiSWXz9E36RwpjJdWx/view?usp=share_link" TargetMode="External"/><Relationship Id="rId116" Type="http://schemas.openxmlformats.org/officeDocument/2006/relationships/hyperlink" Target="https://drive.google.com/file/d/1N6L3Vc-odCCiqUtCIoxSDL3pKhFYTbOz/view?usp=share_link" TargetMode="External"/><Relationship Id="rId115" Type="http://schemas.openxmlformats.org/officeDocument/2006/relationships/hyperlink" Target="https://drive.google.com/file/d/1i-fKgWnw80U-dK2r0wWSMLaumGX110hV/view?usp=share_link" TargetMode="External"/><Relationship Id="rId119" Type="http://schemas.openxmlformats.org/officeDocument/2006/relationships/hyperlink" Target="https://drive.google.com/file/d/1D11dDO5J1mttBzMpe6WKcijVbi31ZeGy/view?usp=share_link" TargetMode="External"/><Relationship Id="rId15" Type="http://schemas.openxmlformats.org/officeDocument/2006/relationships/hyperlink" Target="https://drive.google.com/file/d/1mT08IKsUn6s1pYpQffZBC3I-EEQjVbqh/view?usp=share_link" TargetMode="External"/><Relationship Id="rId110" Type="http://schemas.openxmlformats.org/officeDocument/2006/relationships/hyperlink" Target="https://drive.google.com/file/d/1ikkmY4gwWDy1MTvqtwbrcnHffB9oCGsK/view?usp=share_link" TargetMode="External"/><Relationship Id="rId14" Type="http://schemas.openxmlformats.org/officeDocument/2006/relationships/hyperlink" Target="https://drive.google.com/file/d/1REij7mG2Ud69jZX9MbrgZBwA0TgqVpHX/view?usp=share_link" TargetMode="External"/><Relationship Id="rId17" Type="http://schemas.openxmlformats.org/officeDocument/2006/relationships/hyperlink" Target="https://drive.google.com/file/d/15h0VF25o2v8TdyJkg-XNU0Nnos-WxD51/view?usp=share_link" TargetMode="External"/><Relationship Id="rId16" Type="http://schemas.openxmlformats.org/officeDocument/2006/relationships/hyperlink" Target="https://drive.google.com/file/d/1jKT1Nw-z4PFw8k3GiylhrucLTzO4g0yb/view?usp=share_link" TargetMode="External"/><Relationship Id="rId19" Type="http://schemas.openxmlformats.org/officeDocument/2006/relationships/hyperlink" Target="https://drive.google.com/file/d/1dTEb0Jm1tVWq4dEOWT2coICFwAw5W8fI/view?usp=share_link" TargetMode="External"/><Relationship Id="rId114" Type="http://schemas.openxmlformats.org/officeDocument/2006/relationships/hyperlink" Target="https://drive.google.com/file/d/1BQojH3aIuyk95Dc1dcD6IcgpcD_J0cZR/view?usp=share_link" TargetMode="External"/><Relationship Id="rId18" Type="http://schemas.openxmlformats.org/officeDocument/2006/relationships/hyperlink" Target="https://drive.google.com/file/d/1YIOcZZJzX-8Uga9OyzRKLaNFHEpSSUCD/view?usp=share_link" TargetMode="External"/><Relationship Id="rId113" Type="http://schemas.openxmlformats.org/officeDocument/2006/relationships/hyperlink" Target="https://drive.google.com/file/d/1-RfIQ6tPDfqr_XkSYbnhj0ehvCAl2X2k/view?usp=share_link" TargetMode="External"/><Relationship Id="rId112" Type="http://schemas.openxmlformats.org/officeDocument/2006/relationships/hyperlink" Target="https://drive.google.com/file/d/19_XOwEHmuJHXR7GRC2cBbwNY4HS1ZSGJ/view?usp=share_link" TargetMode="External"/><Relationship Id="rId111" Type="http://schemas.openxmlformats.org/officeDocument/2006/relationships/hyperlink" Target="https://drive.google.com/file/d/1SNSGwWKUMI_K10ij31xQpf3avGj_infI/view?usp=share_link" TargetMode="External"/><Relationship Id="rId84" Type="http://schemas.openxmlformats.org/officeDocument/2006/relationships/hyperlink" Target="https://drive.google.com/file/d/1B5ZzzPSHgbCZophREA6wo8r5qNNmgDTb/view?usp=share_link" TargetMode="External"/><Relationship Id="rId83" Type="http://schemas.openxmlformats.org/officeDocument/2006/relationships/hyperlink" Target="https://drive.google.com/file/d/1bEJeC-pzLAps0bHng6caBcnIhlNd_9JL/view?usp=share_link" TargetMode="External"/><Relationship Id="rId86" Type="http://schemas.openxmlformats.org/officeDocument/2006/relationships/hyperlink" Target="https://drive.google.com/file/d/1h0xRzVdong3pdq1Yq3OgdC8y6qsrXV9h/view?usp=share_link" TargetMode="External"/><Relationship Id="rId85" Type="http://schemas.openxmlformats.org/officeDocument/2006/relationships/hyperlink" Target="https://drive.google.com/file/d/17YQAUmlp_K2YZ5HMoh6F_8zWK4nLi5Iu/view?usp=share_link" TargetMode="External"/><Relationship Id="rId88" Type="http://schemas.openxmlformats.org/officeDocument/2006/relationships/hyperlink" Target="https://drive.google.com/file/d/1g5IbrLjWjnyw-b9LGexxomRPXXiRZZn8/view?usp=share_link" TargetMode="External"/><Relationship Id="rId87" Type="http://schemas.openxmlformats.org/officeDocument/2006/relationships/hyperlink" Target="https://drive.google.com/file/d/1RYpbaZNUysGxziuNj6j0AJglpHPwy4V7/view?usp=share_link" TargetMode="External"/><Relationship Id="rId89" Type="http://schemas.openxmlformats.org/officeDocument/2006/relationships/hyperlink" Target="https://drive.google.com/file/d/1kU0kfsyszK9ZxMiyBK5Mf_YCBOArAS4e/view?usp=share_link" TargetMode="External"/><Relationship Id="rId80" Type="http://schemas.openxmlformats.org/officeDocument/2006/relationships/hyperlink" Target="https://drive.google.com/file/d/17_vloOqYqd7GdbxKeYhaSW0Ewm-XIsC-/view?usp=share_link" TargetMode="External"/><Relationship Id="rId82" Type="http://schemas.openxmlformats.org/officeDocument/2006/relationships/hyperlink" Target="https://drive.google.com/file/d/12DaQskCwXagfdRa7c98gi_WtsvlX163p/view?usp=share_link" TargetMode="External"/><Relationship Id="rId81" Type="http://schemas.openxmlformats.org/officeDocument/2006/relationships/hyperlink" Target="https://drive.google.com/file/d/1rWpPZzwhwJv5EEavwaCIDThdbPCM7lO_/view?usp=share_link" TargetMode="External"/><Relationship Id="rId1" Type="http://schemas.openxmlformats.org/officeDocument/2006/relationships/hyperlink" Target="https://drive.google.com/file/d/1SM8REaBtiUTM-wKY8koELsh7RSMU19L6/view?usp=share_link" TargetMode="External"/><Relationship Id="rId2" Type="http://schemas.openxmlformats.org/officeDocument/2006/relationships/hyperlink" Target="https://drive.google.com/file/d/1uQFl_far0x0umxzxs7twZTij_N2HyVDc/view?usp=share_link" TargetMode="External"/><Relationship Id="rId3" Type="http://schemas.openxmlformats.org/officeDocument/2006/relationships/hyperlink" Target="https://drive.google.com/file/d/1CU5SH6qwgkN9135yZGuz5wLjav093xZK/view?usp=share_link" TargetMode="External"/><Relationship Id="rId4" Type="http://schemas.openxmlformats.org/officeDocument/2006/relationships/hyperlink" Target="https://drive.google.com/file/d/1Krkq-S4jdqqiZjudDncaMHcl0aIJqvr5/view?usp=share_link" TargetMode="External"/><Relationship Id="rId9" Type="http://schemas.openxmlformats.org/officeDocument/2006/relationships/hyperlink" Target="https://drive.google.com/file/d/17nnm_Uut-1OJqg0C-Z41zRiLT18jZFnB/view?usp=share_link" TargetMode="External"/><Relationship Id="rId5" Type="http://schemas.openxmlformats.org/officeDocument/2006/relationships/hyperlink" Target="https://drive.google.com/file/d/1qjhYAfO_U7NsyCalWneNdXkfWLEyJPNf/view?usp=share_link" TargetMode="External"/><Relationship Id="rId6" Type="http://schemas.openxmlformats.org/officeDocument/2006/relationships/hyperlink" Target="https://drive.google.com/file/d/1r_tSyexzYTe5H3SAH6MW4WywtwM84Tj9/view?usp=share_link" TargetMode="External"/><Relationship Id="rId7" Type="http://schemas.openxmlformats.org/officeDocument/2006/relationships/hyperlink" Target="https://drive.google.com/file/d/1cQ61f05TI4xhtcf_JhF9Dn1HfQt2GwTC/view?usp=share_link" TargetMode="External"/><Relationship Id="rId8" Type="http://schemas.openxmlformats.org/officeDocument/2006/relationships/hyperlink" Target="https://drive.google.com/file/d/1E1n-T3_l-j_MoWJOi-4ZG6soHnjLy5Nr/view?usp=share_link" TargetMode="External"/><Relationship Id="rId73" Type="http://schemas.openxmlformats.org/officeDocument/2006/relationships/hyperlink" Target="https://drive.google.com/file/d/1tovFulK0wa_C2DcB208EdOIeD9bCfmI5/view?usp=share_link" TargetMode="External"/><Relationship Id="rId72" Type="http://schemas.openxmlformats.org/officeDocument/2006/relationships/hyperlink" Target="https://drive.google.com/file/d/1DVcgZ2KmsIQoGbU8jSPnVW9DoNcPJ3QE/view?usp=share_link" TargetMode="External"/><Relationship Id="rId75" Type="http://schemas.openxmlformats.org/officeDocument/2006/relationships/hyperlink" Target="https://drive.google.com/file/d/1ezRtOg8IxQ4oUFlRHvv9NG04RS1TQjW9/view?usp=share_link" TargetMode="External"/><Relationship Id="rId74" Type="http://schemas.openxmlformats.org/officeDocument/2006/relationships/hyperlink" Target="https://drive.google.com/file/d/1XCEzvqoLGTbI2yVXYs1u3BAlxfX_LkEu/view?usp=share_link" TargetMode="External"/><Relationship Id="rId77" Type="http://schemas.openxmlformats.org/officeDocument/2006/relationships/hyperlink" Target="https://drive.google.com/file/d/1veVZMn_xCxA39Qskxbes9_9dspB48U0O/view?usp=share_link" TargetMode="External"/><Relationship Id="rId76" Type="http://schemas.openxmlformats.org/officeDocument/2006/relationships/hyperlink" Target="https://drive.google.com/file/d/1fEpcteWd31q_0-HaHLU3sgpDEc5CDxjw/view?usp=share_link" TargetMode="External"/><Relationship Id="rId79" Type="http://schemas.openxmlformats.org/officeDocument/2006/relationships/hyperlink" Target="https://drive.google.com/file/d/17_vloOqYqd7GdbxKeYhaSW0Ewm-XIsC-/view?usp=share_link" TargetMode="External"/><Relationship Id="rId78" Type="http://schemas.openxmlformats.org/officeDocument/2006/relationships/hyperlink" Target="https://drive.google.com/file/d/1MdDsGpyaa8D_nzSusjP_HCpcI8yWVt0p/view?usp=share_link" TargetMode="External"/><Relationship Id="rId71" Type="http://schemas.openxmlformats.org/officeDocument/2006/relationships/hyperlink" Target="https://drive.google.com/file/d/1luOhneCDmDB1RC-bILa6gLmjL8uYtcas/view?usp=share_link" TargetMode="External"/><Relationship Id="rId70" Type="http://schemas.openxmlformats.org/officeDocument/2006/relationships/hyperlink" Target="https://drive.google.com/file/d/1i3ZIIUi47_lr2NeSS8J7Cm_-FSUiXDJl/view?usp=share_link" TargetMode="External"/><Relationship Id="rId139" Type="http://schemas.openxmlformats.org/officeDocument/2006/relationships/drawing" Target="../drawings/drawing6.xml"/><Relationship Id="rId138" Type="http://schemas.openxmlformats.org/officeDocument/2006/relationships/hyperlink" Target="https://drive.google.com/file/d/1ihxDkbA5UZqVCAPeDjozNE2fn5ggLjTn/view?usp=share_link" TargetMode="External"/><Relationship Id="rId137" Type="http://schemas.openxmlformats.org/officeDocument/2006/relationships/hyperlink" Target="https://drive.google.com/file/d/146J4VvKxXJgd3nXHQMgbCFTsI15C8bLZ/view?usp=share_link" TargetMode="External"/><Relationship Id="rId132" Type="http://schemas.openxmlformats.org/officeDocument/2006/relationships/hyperlink" Target="https://drive.google.com/file/d/1eJBYA9iatFhDdag8A5LQax3tN71850Ti/view?usp=share_link" TargetMode="External"/><Relationship Id="rId131" Type="http://schemas.openxmlformats.org/officeDocument/2006/relationships/hyperlink" Target="https://drive.google.com/file/d/1yoFtAdROikHRJkLHEn2EvT7wcFFFOToi/view?usp=share_link" TargetMode="External"/><Relationship Id="rId130" Type="http://schemas.openxmlformats.org/officeDocument/2006/relationships/hyperlink" Target="https://drive.google.com/file/d/1pSc9I5pa6N_V46BCmDe_keAWVVdvl7tK/view?usp=share_link" TargetMode="External"/><Relationship Id="rId136" Type="http://schemas.openxmlformats.org/officeDocument/2006/relationships/hyperlink" Target="https://drive.google.com/file/d/1ssQIRSasz7NWvuknG4ZGr79f7_x12TkF/view?usp=share_link" TargetMode="External"/><Relationship Id="rId135" Type="http://schemas.openxmlformats.org/officeDocument/2006/relationships/hyperlink" Target="https://drive.google.com/file/d/1KnjcIRMcnHynLiodTpoe-xWs4ug3yNJD/view?usp=share_link" TargetMode="External"/><Relationship Id="rId134" Type="http://schemas.openxmlformats.org/officeDocument/2006/relationships/hyperlink" Target="https://drive.google.com/file/d/18eDMhcJk0OTC3WIfLEnzrNcj_nHGfxBe/view?usp=share_link" TargetMode="External"/><Relationship Id="rId133" Type="http://schemas.openxmlformats.org/officeDocument/2006/relationships/hyperlink" Target="https://drive.google.com/file/d/1fLRICTZMc091-xZTz3rPnYsNPP90khiX/view?usp=share_link" TargetMode="External"/><Relationship Id="rId62" Type="http://schemas.openxmlformats.org/officeDocument/2006/relationships/hyperlink" Target="https://drive.google.com/file/d/1PWWCXyVX1CxIC9f0m9QjKmTlMaKzyqDu/view?usp=share_link" TargetMode="External"/><Relationship Id="rId61" Type="http://schemas.openxmlformats.org/officeDocument/2006/relationships/hyperlink" Target="https://drive.google.com/file/d/12mD4qT5HfYEdAJUtOjKUWILOlPQb-dpx/view?usp=share_link" TargetMode="External"/><Relationship Id="rId64" Type="http://schemas.openxmlformats.org/officeDocument/2006/relationships/hyperlink" Target="https://drive.google.com/file/d/18rpCBx0KYLLWKlvBY7AN0naFdrv8MKsN/view?usp=share_link" TargetMode="External"/><Relationship Id="rId63" Type="http://schemas.openxmlformats.org/officeDocument/2006/relationships/hyperlink" Target="https://drive.google.com/file/d/18HAopS4FnvcLFwz-rBms4aCtZ1u_voq2/view?usp=share_link" TargetMode="External"/><Relationship Id="rId66" Type="http://schemas.openxmlformats.org/officeDocument/2006/relationships/hyperlink" Target="https://drive.google.com/file/d/1KH5PV_N8yR18oKv2fs0OBtFg2o9QZ1rJ/view?usp=share_link" TargetMode="External"/><Relationship Id="rId65" Type="http://schemas.openxmlformats.org/officeDocument/2006/relationships/hyperlink" Target="https://drive.google.com/file/d/12J7jbtggyXqLKRN6xNlVl2idteV7Qszy/view?usp=share_link" TargetMode="External"/><Relationship Id="rId68" Type="http://schemas.openxmlformats.org/officeDocument/2006/relationships/hyperlink" Target="https://drive.google.com/file/d/1V5MG7rklceJckN00QdDYdpXsgRhEEGAS/view?usp=share_link" TargetMode="External"/><Relationship Id="rId67" Type="http://schemas.openxmlformats.org/officeDocument/2006/relationships/hyperlink" Target="https://drive.google.com/file/d/14ecbg7aFWF7VHBstT1q-CSgsuVWxLpo1/view?usp=share_link" TargetMode="External"/><Relationship Id="rId60" Type="http://schemas.openxmlformats.org/officeDocument/2006/relationships/hyperlink" Target="https://drive.google.com/file/d/1cqxXhMIWRC6jUtHafChcmyAnPiK5l6JX/view?usp=share_link" TargetMode="External"/><Relationship Id="rId69" Type="http://schemas.openxmlformats.org/officeDocument/2006/relationships/hyperlink" Target="https://drive.google.com/file/d/1NUFpaP6XeWq-R4rHNmG3yQz517xICNLW/view?usp=share_link" TargetMode="External"/><Relationship Id="rId51" Type="http://schemas.openxmlformats.org/officeDocument/2006/relationships/hyperlink" Target="https://drive.google.com/file/d/1Xrf_znIkKWw9stI5kcfsHxj_jg8WUAFi/view?usp=share_link" TargetMode="External"/><Relationship Id="rId50" Type="http://schemas.openxmlformats.org/officeDocument/2006/relationships/hyperlink" Target="https://drive.google.com/file/d/1ssTJYRHhOqeiywwgMlhj4GA3njPiya3O/view?usp=share_link" TargetMode="External"/><Relationship Id="rId53" Type="http://schemas.openxmlformats.org/officeDocument/2006/relationships/hyperlink" Target="https://drive.google.com/file/d/16ka35xCp2jaP8l-OgoiCFtLlehFFiKxY/view?usp=share_link" TargetMode="External"/><Relationship Id="rId52" Type="http://schemas.openxmlformats.org/officeDocument/2006/relationships/hyperlink" Target="https://drive.google.com/file/d/12jCIBkOX4f1jBcyOps-8I6np1eykM6kz/view?usp=share_link" TargetMode="External"/><Relationship Id="rId55" Type="http://schemas.openxmlformats.org/officeDocument/2006/relationships/hyperlink" Target="https://drive.google.com/file/d/123_ZaDJbCv9-6WGBKsLcIBxdUciW9Ll_/view?usp=share_link" TargetMode="External"/><Relationship Id="rId54" Type="http://schemas.openxmlformats.org/officeDocument/2006/relationships/hyperlink" Target="https://drive.google.com/file/d/109ZwRUvrfgY5I_1hh3P9hGD9aMuL6YQp/view?usp=share_link" TargetMode="External"/><Relationship Id="rId57" Type="http://schemas.openxmlformats.org/officeDocument/2006/relationships/hyperlink" Target="https://drive.google.com/file/d/13kGUuuWuLiWa-7R-RFNvIyROH8oONhKv/view?usp=share_link" TargetMode="External"/><Relationship Id="rId56" Type="http://schemas.openxmlformats.org/officeDocument/2006/relationships/hyperlink" Target="https://drive.google.com/file/d/1tOeF1RL3nSjpMDzV7pmzd2yKmsHDR7UI/view?usp=share_link" TargetMode="External"/><Relationship Id="rId59" Type="http://schemas.openxmlformats.org/officeDocument/2006/relationships/hyperlink" Target="https://drive.google.com/file/d/13PncrZDJhgOBUhITqPBkOGJvXzUstplR/view?usp=share_link" TargetMode="External"/><Relationship Id="rId58" Type="http://schemas.openxmlformats.org/officeDocument/2006/relationships/hyperlink" Target="https://drive.google.com/file/d/1iKv43OguPK7J3MJnvbDkajJLrpmb0B9T/view?usp=share_lin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53pmtWJ-roZ2O4vKGr_KTR8JkcJUZKv/view?usp=share_link" TargetMode="External"/><Relationship Id="rId42" Type="http://schemas.openxmlformats.org/officeDocument/2006/relationships/hyperlink" Target="https://drive.google.com/file/d/1cms6b5jCkNYewVgOgP0V6y6Bzll0Z8O0/view?usp=share_link" TargetMode="External"/><Relationship Id="rId41" Type="http://schemas.openxmlformats.org/officeDocument/2006/relationships/hyperlink" Target="https://drive.google.com/file/d/1s4Gm5ZeOYKIl-vtoAMJsWYtu-OpGMXwA/view?usp=share_link" TargetMode="External"/><Relationship Id="rId44" Type="http://schemas.openxmlformats.org/officeDocument/2006/relationships/hyperlink" Target="https://drive.google.com/file/d/1bjYjJTtPhDUKOCDa8noDfdlkndJ5HlBI/view?usp=share_link" TargetMode="External"/><Relationship Id="rId43" Type="http://schemas.openxmlformats.org/officeDocument/2006/relationships/hyperlink" Target="https://drive.google.com/file/d/1T-SugAj1r73gxD4MCHt745kpBQXSHfp_/view?usp=share_link" TargetMode="External"/><Relationship Id="rId46" Type="http://schemas.openxmlformats.org/officeDocument/2006/relationships/hyperlink" Target="https://drive.google.com/file/d/1PAlKEu0TtLpFcshgbNyumi-gvt3ak9bM/view?usp=share_link" TargetMode="External"/><Relationship Id="rId45" Type="http://schemas.openxmlformats.org/officeDocument/2006/relationships/hyperlink" Target="https://drive.google.com/file/d/1kUCrzoxY4H6BRnt-2kmd6cuqnKkKFA9_/view?usp=share_link" TargetMode="External"/><Relationship Id="rId48" Type="http://schemas.openxmlformats.org/officeDocument/2006/relationships/hyperlink" Target="https://drive.google.com/file/d/17rnvNzqKVPcDno1mFNWEJmaVthkx-b8F/view?usp=share_link" TargetMode="External"/><Relationship Id="rId47" Type="http://schemas.openxmlformats.org/officeDocument/2006/relationships/hyperlink" Target="https://drive.google.com/file/d/1SOp26UKGbs4ep4dL5skSeUyEwJCCmuGx/view?usp=share_link" TargetMode="External"/><Relationship Id="rId49" Type="http://schemas.openxmlformats.org/officeDocument/2006/relationships/hyperlink" Target="https://drive.google.com/file/d/1Y_9CBpo0alTte5CWaGTKTeihv9n-669u/view?usp=share_link" TargetMode="External"/><Relationship Id="rId31" Type="http://schemas.openxmlformats.org/officeDocument/2006/relationships/hyperlink" Target="https://drive.google.com/file/d/1krfRwmPuEJe24Vbehjj9A1MetF986LXd/view?usp=share_link" TargetMode="External"/><Relationship Id="rId30" Type="http://schemas.openxmlformats.org/officeDocument/2006/relationships/hyperlink" Target="https://drive.google.com/file/d/1hzpjNqW7TEHboaCBV-LDXtnimZmbGhr0/view?usp=share_link" TargetMode="External"/><Relationship Id="rId33" Type="http://schemas.openxmlformats.org/officeDocument/2006/relationships/hyperlink" Target="https://drive.google.com/file/d/11xgtpjG9MaaXb9CabylR83XAlVtbfylx/view?usp=share_link" TargetMode="External"/><Relationship Id="rId32" Type="http://schemas.openxmlformats.org/officeDocument/2006/relationships/hyperlink" Target="https://drive.google.com/file/d/1O-JwSgM-RbzjIp0JH9fAyYdWEYC64lQK/view?usp=share_link" TargetMode="External"/><Relationship Id="rId35" Type="http://schemas.openxmlformats.org/officeDocument/2006/relationships/hyperlink" Target="https://drive.google.com/file/d/1n1LpthJ0xuZlGOA65jU_1ekk5rllQYJL/view?usp=share_link" TargetMode="External"/><Relationship Id="rId34" Type="http://schemas.openxmlformats.org/officeDocument/2006/relationships/hyperlink" Target="https://drive.google.com/file/d/1vHYpNHislTJxz_N2TLpPcxq5bdYdi8Qy/view?usp=share_link" TargetMode="External"/><Relationship Id="rId37" Type="http://schemas.openxmlformats.org/officeDocument/2006/relationships/hyperlink" Target="https://drive.google.com/file/d/1Ar59Cn5omgBDQBBP_RTQH190LO3maaKF/view?usp=share_link" TargetMode="External"/><Relationship Id="rId36" Type="http://schemas.openxmlformats.org/officeDocument/2006/relationships/hyperlink" Target="https://drive.google.com/file/d/1I6CThsbQBdBDuMJ9KgYYzg-NFwBIHGkn/view?usp=share_link" TargetMode="External"/><Relationship Id="rId39" Type="http://schemas.openxmlformats.org/officeDocument/2006/relationships/hyperlink" Target="https://drive.google.com/file/d/1aO4DzWpAFMVlJWvhBtAKgYDhyVxVOssR/view?usp=share_link" TargetMode="External"/><Relationship Id="rId38" Type="http://schemas.openxmlformats.org/officeDocument/2006/relationships/hyperlink" Target="https://drive.google.com/file/d/1wT8nLFrlLgGImQT1DbyxkDBA60enyiWf/view?usp=share_link" TargetMode="External"/><Relationship Id="rId20" Type="http://schemas.openxmlformats.org/officeDocument/2006/relationships/hyperlink" Target="https://drive.google.com/file/d/1wZKY-TtQkRKwMZa9ieHpXw73E1JcWlWu/view?usp=share_link" TargetMode="External"/><Relationship Id="rId22" Type="http://schemas.openxmlformats.org/officeDocument/2006/relationships/hyperlink" Target="https://drive.google.com/file/d/1d6Tl226n0o_JCcz51i-10xKk9qfRlHGb/view?usp=share_link" TargetMode="External"/><Relationship Id="rId21" Type="http://schemas.openxmlformats.org/officeDocument/2006/relationships/hyperlink" Target="https://drive.google.com/file/d/17DSWUzBmzQuiYg8uh9xwVr55fZvNYL-O/view?usp=share_link" TargetMode="External"/><Relationship Id="rId24" Type="http://schemas.openxmlformats.org/officeDocument/2006/relationships/hyperlink" Target="https://drive.google.com/file/d/192sJdtQ3wPzzzIx0eYqDE58iqnH8YzEN/view?usp=share_link" TargetMode="External"/><Relationship Id="rId23" Type="http://schemas.openxmlformats.org/officeDocument/2006/relationships/hyperlink" Target="https://drive.google.com/file/d/1DbOCoxVmb4O4Daa0E9v7Uzo6oXUOpBLy/view?usp=share_link" TargetMode="External"/><Relationship Id="rId26" Type="http://schemas.openxmlformats.org/officeDocument/2006/relationships/hyperlink" Target="https://drive.google.com/file/d/1Zbce_R5AT2m51vSY1cikOtjy7RQTPfhC/view?usp=share_link" TargetMode="External"/><Relationship Id="rId25" Type="http://schemas.openxmlformats.org/officeDocument/2006/relationships/hyperlink" Target="https://drive.google.com/file/d/1LwL8s_G1Jtxqk089PMMJT23I6-O3h-RP/view?usp=share_link" TargetMode="External"/><Relationship Id="rId28" Type="http://schemas.openxmlformats.org/officeDocument/2006/relationships/hyperlink" Target="https://drive.google.com/file/d/106E3kvXRSTafp2vUTvWCXMcRd-aWtY_-/view?usp=share_link" TargetMode="External"/><Relationship Id="rId27" Type="http://schemas.openxmlformats.org/officeDocument/2006/relationships/hyperlink" Target="https://drive.google.com/file/d/1KMK4qBuMx_1vazQBquN85bJV9HS89uvA/view?usp=share_link" TargetMode="External"/><Relationship Id="rId29" Type="http://schemas.openxmlformats.org/officeDocument/2006/relationships/hyperlink" Target="https://drive.google.com/file/d/1fhN0XG7C6S82TuxkcYdFZM6JhoISjgwL/view?usp=share_link" TargetMode="External"/><Relationship Id="rId11" Type="http://schemas.openxmlformats.org/officeDocument/2006/relationships/hyperlink" Target="https://drive.google.com/file/d/1aWclXCyphn1j3qIr165yAmiuF9gUl4zx/view?usp=share_link" TargetMode="External"/><Relationship Id="rId10" Type="http://schemas.openxmlformats.org/officeDocument/2006/relationships/hyperlink" Target="https://drive.google.com/file/d/1FXqoJQe9g4KNaF5sGA-p8SFPle_M_9Hr/view?usp=share_link" TargetMode="External"/><Relationship Id="rId13" Type="http://schemas.openxmlformats.org/officeDocument/2006/relationships/hyperlink" Target="https://drive.google.com/file/d/1ZIvYjAhIl-DHb-fu7U8pClEhAgOoJZqN/view?usp=share_link" TargetMode="External"/><Relationship Id="rId12" Type="http://schemas.openxmlformats.org/officeDocument/2006/relationships/hyperlink" Target="https://drive.google.com/file/d/1Z4AH5HS9dh5qdqt0jHzMsNKo4wW922is/view?usp=share_link" TargetMode="External"/><Relationship Id="rId15" Type="http://schemas.openxmlformats.org/officeDocument/2006/relationships/hyperlink" Target="https://drive.google.com/file/d/1zTaqJvoNdP6rHICHNJKpFOprxJefL0_w/view?usp=share_link" TargetMode="External"/><Relationship Id="rId14" Type="http://schemas.openxmlformats.org/officeDocument/2006/relationships/hyperlink" Target="https://drive.google.com/file/d/1lnpWhMonXCl1DhpUgJ8w1Wld2Lh5zS5F/view?usp=share_link" TargetMode="External"/><Relationship Id="rId17" Type="http://schemas.openxmlformats.org/officeDocument/2006/relationships/hyperlink" Target="https://drive.google.com/file/d/1OpsukMWQQPzM9yXSUrYPigMfiouxSgbU/view?usp=share_link" TargetMode="External"/><Relationship Id="rId16" Type="http://schemas.openxmlformats.org/officeDocument/2006/relationships/hyperlink" Target="https://drive.google.com/file/d/1wYmBxASfzv8h1W-17p_ZHxwp966WT44Y/view?usp=share_link" TargetMode="External"/><Relationship Id="rId19" Type="http://schemas.openxmlformats.org/officeDocument/2006/relationships/hyperlink" Target="https://drive.google.com/file/d/16a_DczLMyspC2l7J34VteGReEeaRcyi8/view?usp=share_link" TargetMode="External"/><Relationship Id="rId18" Type="http://schemas.openxmlformats.org/officeDocument/2006/relationships/hyperlink" Target="https://drive.google.com/file/d/1OOcC5lobOR-OyljIsmgnw7yWS8CFGXrA/view?usp=share_link" TargetMode="External"/><Relationship Id="rId1" Type="http://schemas.openxmlformats.org/officeDocument/2006/relationships/hyperlink" Target="https://drive.google.com/file/d/1CXm3_pZ7p0dNQrLiguDHR5IjSbfaFkgX/view?usp=sharing" TargetMode="External"/><Relationship Id="rId2" Type="http://schemas.openxmlformats.org/officeDocument/2006/relationships/hyperlink" Target="https://drive.google.com/file/d/1kN3G3AgbPWjdyZOB9AbTTArC02Xm4aUr/view?usp=share_link" TargetMode="External"/><Relationship Id="rId3" Type="http://schemas.openxmlformats.org/officeDocument/2006/relationships/hyperlink" Target="https://drive.google.com/file/d/1o6DRNQaNkTAqwRiPXj_XF3BtLVCqUnyF/view?usp=share_link" TargetMode="External"/><Relationship Id="rId4" Type="http://schemas.openxmlformats.org/officeDocument/2006/relationships/hyperlink" Target="https://drive.google.com/file/d/1LDevbbjVYhxJl5zM4v_64GiDg1SYQAzs/view?usp=share_link" TargetMode="External"/><Relationship Id="rId9" Type="http://schemas.openxmlformats.org/officeDocument/2006/relationships/hyperlink" Target="https://drive.google.com/file/d/19HSRSVGkNuKjgvdxQxTRzRBXPL92kJxm/view?usp=share_link" TargetMode="External"/><Relationship Id="rId5" Type="http://schemas.openxmlformats.org/officeDocument/2006/relationships/hyperlink" Target="https://drive.google.com/file/d/1KzBcFQVYhxZiHgZAfDIg2RUOxuKi_IhS/view?usp=share_link" TargetMode="External"/><Relationship Id="rId6" Type="http://schemas.openxmlformats.org/officeDocument/2006/relationships/hyperlink" Target="https://drive.google.com/file/d/1iOfLlfEPRgJemHf9vDm4NqDjqDtCOxSL/view?usp=share_link" TargetMode="External"/><Relationship Id="rId7" Type="http://schemas.openxmlformats.org/officeDocument/2006/relationships/hyperlink" Target="https://drive.google.com/file/d/1pTwoy1_rssWr2agOSc_taM2CE8r1V5Qz/view?usp=share_link" TargetMode="External"/><Relationship Id="rId8" Type="http://schemas.openxmlformats.org/officeDocument/2006/relationships/hyperlink" Target="https://drive.google.com/file/d/1AM7e8yQqPeH4OFyseF5fefdWvl5pcZ4a/view?usp=share_link" TargetMode="External"/><Relationship Id="rId51" Type="http://schemas.openxmlformats.org/officeDocument/2006/relationships/drawing" Target="../drawings/drawing7.xml"/><Relationship Id="rId50" Type="http://schemas.openxmlformats.org/officeDocument/2006/relationships/hyperlink" Target="https://drive.google.com/file/d/1HqxnXllr-yvl7EVr4yVQBV3wRqTX0gEr/view?usp=share_li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jY7dG9xeLNFnccRJl03AnczwhMZlqbK/view?usp=share_link" TargetMode="External"/><Relationship Id="rId42" Type="http://schemas.openxmlformats.org/officeDocument/2006/relationships/hyperlink" Target="https://drive.google.com/file/d/1IrN902PXeyQ1k4gqUPYwHuKNREkLsbj0/view?usp=share_link" TargetMode="External"/><Relationship Id="rId41" Type="http://schemas.openxmlformats.org/officeDocument/2006/relationships/hyperlink" Target="https://drive.google.com/file/d/1nV8IyCYaa5w9RYPdYlqqStwq3zrRPk8z/view?usp=share_link" TargetMode="External"/><Relationship Id="rId44" Type="http://schemas.openxmlformats.org/officeDocument/2006/relationships/hyperlink" Target="https://drive.google.com/file/d/1m1yFxFnkjmtr6tmje-nbx6w7mjnzkYHU/view?usp=share_link" TargetMode="External"/><Relationship Id="rId43" Type="http://schemas.openxmlformats.org/officeDocument/2006/relationships/hyperlink" Target="https://drive.google.com/file/d/16YB55x5iLSp-fs3W7zjqvUAyEvs50T-5/view?usp=share_link" TargetMode="External"/><Relationship Id="rId46" Type="http://schemas.openxmlformats.org/officeDocument/2006/relationships/hyperlink" Target="https://drive.google.com/file/d/1yKUBV97USQKdT69lKt_A2c664EDN1RTR/view?usp=share_link" TargetMode="External"/><Relationship Id="rId45" Type="http://schemas.openxmlformats.org/officeDocument/2006/relationships/hyperlink" Target="https://drive.google.com/file/d/1PVlLa6CHuuXRIeYhAvigCKFSE_So05y7/view?usp=share_link" TargetMode="External"/><Relationship Id="rId48" Type="http://schemas.openxmlformats.org/officeDocument/2006/relationships/hyperlink" Target="https://drive.google.com/file/d/1JprNTtLBFWJYos2kuujR_m9xWpCwpfuy/view?usp=share_link" TargetMode="External"/><Relationship Id="rId47" Type="http://schemas.openxmlformats.org/officeDocument/2006/relationships/hyperlink" Target="https://drive.google.com/file/d/1xokczplw_LleNORM3VZ8uSQj0n_15MYb/view?usp=share_link" TargetMode="External"/><Relationship Id="rId49" Type="http://schemas.openxmlformats.org/officeDocument/2006/relationships/hyperlink" Target="https://drive.google.com/file/d/1FPmKEWAF0JqDHztknfNgic9DGkJINd4O/view?usp=share_link" TargetMode="External"/><Relationship Id="rId31" Type="http://schemas.openxmlformats.org/officeDocument/2006/relationships/hyperlink" Target="https://drive.google.com/file/d/1zj0_XpXXn5Ovcqtzk1cDJKsWDAAnoYvM/view?usp=share_link" TargetMode="External"/><Relationship Id="rId30" Type="http://schemas.openxmlformats.org/officeDocument/2006/relationships/hyperlink" Target="https://drive.google.com/file/d/18ayZioD8_FCdX7NHsdcL7xO6crC8silw/view?usp=share_link" TargetMode="External"/><Relationship Id="rId33" Type="http://schemas.openxmlformats.org/officeDocument/2006/relationships/hyperlink" Target="https://drive.google.com/file/d/1ieqLyGDgrHeN0CAi2TteziJSiY6Fidwf/view?usp=share_link" TargetMode="External"/><Relationship Id="rId32" Type="http://schemas.openxmlformats.org/officeDocument/2006/relationships/hyperlink" Target="https://drive.google.com/file/d/1yP0eA8lbD8a6iTpIjGJ0G_FcuWVJkrt4/view?usp=share_link" TargetMode="External"/><Relationship Id="rId35" Type="http://schemas.openxmlformats.org/officeDocument/2006/relationships/hyperlink" Target="https://drive.google.com/file/d/1eLwe3aJu7i-nhPoIFm3N7kMq72PZpVS2/view?usp=share_link" TargetMode="External"/><Relationship Id="rId34" Type="http://schemas.openxmlformats.org/officeDocument/2006/relationships/hyperlink" Target="https://drive.google.com/file/d/1bdGD2P3qs3NvQSQ4hR1IJzX1Nn0UX15x/view?usp=share_link" TargetMode="External"/><Relationship Id="rId37" Type="http://schemas.openxmlformats.org/officeDocument/2006/relationships/hyperlink" Target="https://drive.google.com/file/d/1mz4KH5PieB69-IhQmJx7t76kUG9gdV6F/view?usp=share_link" TargetMode="External"/><Relationship Id="rId36" Type="http://schemas.openxmlformats.org/officeDocument/2006/relationships/hyperlink" Target="https://drive.google.com/file/d/1Kvc-5TgOsAIHj4RCOeM8ZdCVyQ27VeRH/view?usp=share_link" TargetMode="External"/><Relationship Id="rId39" Type="http://schemas.openxmlformats.org/officeDocument/2006/relationships/hyperlink" Target="https://drive.google.com/file/d/1mjY7dG9xeLNFnccRJl03AnczwhMZlqbK/view?usp=share_link" TargetMode="External"/><Relationship Id="rId38" Type="http://schemas.openxmlformats.org/officeDocument/2006/relationships/hyperlink" Target="https://drive.google.com/file/d/1GE2DDWFVPao74xsRCk1kho_qD1ditzO_/view?usp=share_link" TargetMode="External"/><Relationship Id="rId20" Type="http://schemas.openxmlformats.org/officeDocument/2006/relationships/hyperlink" Target="https://drive.google.com/file/d/1j26s04gh-s5p9g32-m_dGUJZB-Aw3GV8/view?usp=share_link" TargetMode="External"/><Relationship Id="rId22" Type="http://schemas.openxmlformats.org/officeDocument/2006/relationships/hyperlink" Target="https://drive.google.com/file/d/1RhVZBhR7LeVlFvbBRdSHbWROYdk4W45X/view?usp=share_link" TargetMode="External"/><Relationship Id="rId21" Type="http://schemas.openxmlformats.org/officeDocument/2006/relationships/hyperlink" Target="https://drive.google.com/file/d/1G-YdyrvMDR_tV6R4xmQU7KoFWny1Tc9l/view?usp=share_link" TargetMode="External"/><Relationship Id="rId24" Type="http://schemas.openxmlformats.org/officeDocument/2006/relationships/hyperlink" Target="https://drive.google.com/file/d/1LMDrr9JV2FKl-ljevQbtM9BeYa7uFY_p/view?usp=share_link" TargetMode="External"/><Relationship Id="rId23" Type="http://schemas.openxmlformats.org/officeDocument/2006/relationships/hyperlink" Target="https://drive.google.com/file/d/1Li7nZI1Rep7Oix5CvWY9Cw9SXthkJAiS/view?usp=share_link" TargetMode="External"/><Relationship Id="rId26" Type="http://schemas.openxmlformats.org/officeDocument/2006/relationships/hyperlink" Target="https://drive.google.com/file/d/1tYaM1xrkVzI2LcJvwalQerlFInUNTnnY/view?usp=share_link" TargetMode="External"/><Relationship Id="rId25" Type="http://schemas.openxmlformats.org/officeDocument/2006/relationships/hyperlink" Target="https://drive.google.com/file/d/1mtgr52UJXQzyO2qh2d9LyyrDBrEWwhPL/view?usp=share_link" TargetMode="External"/><Relationship Id="rId28" Type="http://schemas.openxmlformats.org/officeDocument/2006/relationships/hyperlink" Target="https://drive.google.com/file/d/1PUn3xIFJVM0fZg-_FoZ6Zw-0Ww8yvgRt/view?usp=share_link" TargetMode="External"/><Relationship Id="rId27" Type="http://schemas.openxmlformats.org/officeDocument/2006/relationships/hyperlink" Target="https://drive.google.com/file/d/1i6scPbfp1wVCYSZc5whth7E2UiMgqUxr/view?usp=share_link" TargetMode="External"/><Relationship Id="rId29" Type="http://schemas.openxmlformats.org/officeDocument/2006/relationships/hyperlink" Target="https://drive.google.com/file/d/1QnA_C-mqHH2yiZYbWtJT7Zmx15vYNeEN/view?usp=share_link" TargetMode="External"/><Relationship Id="rId11" Type="http://schemas.openxmlformats.org/officeDocument/2006/relationships/hyperlink" Target="https://drive.google.com/file/d/1qK5ap6FdV3CxdzvB1jfcsc8mSmCGJpnD/view" TargetMode="External"/><Relationship Id="rId10" Type="http://schemas.openxmlformats.org/officeDocument/2006/relationships/hyperlink" Target="https://drive.google.com/file/d/1GivmND3ndf-xwxyU3zVhRHd40nuI32UV/view" TargetMode="External"/><Relationship Id="rId13" Type="http://schemas.openxmlformats.org/officeDocument/2006/relationships/hyperlink" Target="https://drive.google.com/file/d/1THBw3e_4VlZKQ_1p2em8v4O6Mah3gpOv/view?usp=share_link" TargetMode="External"/><Relationship Id="rId12" Type="http://schemas.openxmlformats.org/officeDocument/2006/relationships/hyperlink" Target="https://drive.google.com/file/d/1MAVIKzOgwFF867m7_yHeKhlPF0_LtwHg/view" TargetMode="External"/><Relationship Id="rId15" Type="http://schemas.openxmlformats.org/officeDocument/2006/relationships/hyperlink" Target="https://drive.google.com/file/d/1JrHGWZLDKGPvEg64yrnBemA7b01W1PW8/view?usp=sharing" TargetMode="External"/><Relationship Id="rId14" Type="http://schemas.openxmlformats.org/officeDocument/2006/relationships/hyperlink" Target="https://drive.google.com/file/d/1VFs6dgOhfs6YEx3m-79Gvy-GgLi83krV/view?usp=share_link" TargetMode="External"/><Relationship Id="rId17" Type="http://schemas.openxmlformats.org/officeDocument/2006/relationships/hyperlink" Target="https://drive.google.com/file/d/1Li7nZI1Rep7Oix5CvWY9Cw9SXthkJAiS/view?usp=share_link" TargetMode="External"/><Relationship Id="rId16" Type="http://schemas.openxmlformats.org/officeDocument/2006/relationships/hyperlink" Target="https://drive.google.com/file/d/17cWg3j73mnVLCEOUDqcprBV6wYRXf4T0/view?usp=share_link" TargetMode="External"/><Relationship Id="rId19" Type="http://schemas.openxmlformats.org/officeDocument/2006/relationships/hyperlink" Target="https://drive.google.com/file/d/1PcbXdlOclSPajusiR3T8mZCnjAW8Zvie/view?usp=share_link" TargetMode="External"/><Relationship Id="rId18" Type="http://schemas.openxmlformats.org/officeDocument/2006/relationships/hyperlink" Target="https://drive.google.com/file/d/1awfGzCIg_aKRAe08Y8JJwwkf0q3_xOZR/view?usp=share_link" TargetMode="External"/><Relationship Id="rId1" Type="http://schemas.openxmlformats.org/officeDocument/2006/relationships/hyperlink" Target="https://drive.google.com/file/d/1aVCUjioJ51YWIpNQWtY3o2-yhG-wAmC7/view" TargetMode="External"/><Relationship Id="rId2" Type="http://schemas.openxmlformats.org/officeDocument/2006/relationships/hyperlink" Target="https://drive.google.com/file/d/1gSPOqbDc7XfcmL6p9O7tnMMOEaFolHC0/view" TargetMode="External"/><Relationship Id="rId3" Type="http://schemas.openxmlformats.org/officeDocument/2006/relationships/hyperlink" Target="https://drive.google.com/file/d/191c1Qpn-g11ANgs2HlPPD1_jftzqmwfY/view" TargetMode="External"/><Relationship Id="rId4" Type="http://schemas.openxmlformats.org/officeDocument/2006/relationships/hyperlink" Target="https://drive.google.com/file/d/1egcCbXh7kvs_a6nP1KFZ_uRL_L0foTT3/view" TargetMode="External"/><Relationship Id="rId9" Type="http://schemas.openxmlformats.org/officeDocument/2006/relationships/hyperlink" Target="https://drive.google.com/file/d/1IeYNSFhO5XwmFgQu1_hYKfmCtVgxPHE6/view" TargetMode="External"/><Relationship Id="rId5" Type="http://schemas.openxmlformats.org/officeDocument/2006/relationships/hyperlink" Target="https://drive.google.com/file/d/148HGn4ktQvtLcJuXv0Luql1Z1iTbbXMK/view" TargetMode="External"/><Relationship Id="rId6" Type="http://schemas.openxmlformats.org/officeDocument/2006/relationships/hyperlink" Target="https://drive.google.com/file/d/1tMbVxXuyLA7TTCyqf8wes1F9bZKE6JO0/view" TargetMode="External"/><Relationship Id="rId7" Type="http://schemas.openxmlformats.org/officeDocument/2006/relationships/hyperlink" Target="https://drive.google.com/file/d/1YeECzRMVW27OSV1Yh-FzdcqnS_zaVGsk/view" TargetMode="External"/><Relationship Id="rId8" Type="http://schemas.openxmlformats.org/officeDocument/2006/relationships/hyperlink" Target="https://drive.google.com/file/d/1J_SkiQj9WydaiGIgNvXFqbT2Vc0jXc93/view" TargetMode="External"/><Relationship Id="rId73" Type="http://schemas.openxmlformats.org/officeDocument/2006/relationships/hyperlink" Target="https://drive.google.com/file/d/1lqrcF3FJgDDVgOj-jA8ZJfjjlSher2-P/view?usp=share_link" TargetMode="External"/><Relationship Id="rId72" Type="http://schemas.openxmlformats.org/officeDocument/2006/relationships/hyperlink" Target="https://drive.google.com/file/d/1t7PHzLMl3FPyrQxORLNq4x50ubjzaUtq/view?usp=share_link" TargetMode="External"/><Relationship Id="rId75" Type="http://schemas.openxmlformats.org/officeDocument/2006/relationships/hyperlink" Target="https://drive.google.com/file/d/1k8XDa1WPVSrTOjBjSVP4--o61gc0jag0/view?usp=share_link" TargetMode="External"/><Relationship Id="rId74" Type="http://schemas.openxmlformats.org/officeDocument/2006/relationships/hyperlink" Target="https://drive.google.com/file/d/1tB0UPBnHEoIPUeRRQoZcRG7A597I_l76/view?usp=share_link" TargetMode="External"/><Relationship Id="rId77" Type="http://schemas.openxmlformats.org/officeDocument/2006/relationships/drawing" Target="../drawings/drawing8.xml"/><Relationship Id="rId76" Type="http://schemas.openxmlformats.org/officeDocument/2006/relationships/hyperlink" Target="https://drive.google.com/file/d/1tMbVxXuyLA7TTCyqf8wes1F9bZKE6JO0/view?usp=share_link" TargetMode="External"/><Relationship Id="rId71" Type="http://schemas.openxmlformats.org/officeDocument/2006/relationships/hyperlink" Target="https://drive.google.com/file/d/1fLxk1TuC2KCFrKzP6jeAGMkYFQpKGxIH/view?usp=share_link" TargetMode="External"/><Relationship Id="rId70" Type="http://schemas.openxmlformats.org/officeDocument/2006/relationships/hyperlink" Target="https://drive.google.com/file/d/1Qy-qhHrg6cwDvSFJWZcLlfAncZ04ikRc/view?usp=share_link" TargetMode="External"/><Relationship Id="rId62" Type="http://schemas.openxmlformats.org/officeDocument/2006/relationships/hyperlink" Target="https://drive.google.com/file/d/1jXczeH-M7rw0EQUvgBoRhYY9_WLHZMOF/view?usp=share_link" TargetMode="External"/><Relationship Id="rId61" Type="http://schemas.openxmlformats.org/officeDocument/2006/relationships/hyperlink" Target="https://drive.google.com/file/d/1PnPcIKJ_Nr9vngN9L-liNDov1GSlDREz/view?usp=share_link" TargetMode="External"/><Relationship Id="rId64" Type="http://schemas.openxmlformats.org/officeDocument/2006/relationships/hyperlink" Target="https://drive.google.com/file/d/1bskWqrSvPf4EZRv4vWv5Q4YqlSWYs5wH/view?usp=share_link" TargetMode="External"/><Relationship Id="rId63" Type="http://schemas.openxmlformats.org/officeDocument/2006/relationships/hyperlink" Target="https://drive.google.com/file/d/1BI1b_bujksf7WPKKGQRZnwFs9W2BJ5QY/view?usp=share_link" TargetMode="External"/><Relationship Id="rId66" Type="http://schemas.openxmlformats.org/officeDocument/2006/relationships/hyperlink" Target="https://drive.google.com/file/d/1FOHpLkS6Y3t11OK_mtZXogZtV5FD-gOC/view?usp=share_link" TargetMode="External"/><Relationship Id="rId65" Type="http://schemas.openxmlformats.org/officeDocument/2006/relationships/hyperlink" Target="https://drive.google.com/file/d/1TkttME5fU5xfPuZJTz3HpbnKjslb1Gy0/view?usp=share_link" TargetMode="External"/><Relationship Id="rId68" Type="http://schemas.openxmlformats.org/officeDocument/2006/relationships/hyperlink" Target="https://drive.google.com/file/d/1xaYSjVY30A0jWPw3qP7h2R5dZTgjSW00/view?usp=share_link" TargetMode="External"/><Relationship Id="rId67" Type="http://schemas.openxmlformats.org/officeDocument/2006/relationships/hyperlink" Target="https://drive.google.com/file/d/1I3h4xBOjl739EaeQM3daaYTfgbztXCyF/view?usp=share_link" TargetMode="External"/><Relationship Id="rId60" Type="http://schemas.openxmlformats.org/officeDocument/2006/relationships/hyperlink" Target="https://drive.google.com/file/d/1v5WPEzwE-65kQkFMZ5FOpqrCSXjR_M9I/view?usp=share_link" TargetMode="External"/><Relationship Id="rId69" Type="http://schemas.openxmlformats.org/officeDocument/2006/relationships/hyperlink" Target="https://drive.google.com/file/d/1wAxUy3jB7jcN6cx9sh-43-poZvL0mZ7v/view?usp=share_link" TargetMode="External"/><Relationship Id="rId51" Type="http://schemas.openxmlformats.org/officeDocument/2006/relationships/hyperlink" Target="https://drive.google.com/file/d/1l_w1GSP9tHDfsUWLgh8we3oy6_YuGHJA/view?usp=share_link" TargetMode="External"/><Relationship Id="rId50" Type="http://schemas.openxmlformats.org/officeDocument/2006/relationships/hyperlink" Target="https://drive.google.com/file/d/1m5Yh0zuyhRE7gOFotmS9Pw_wI9CPE0g7/view?usp=share_link" TargetMode="External"/><Relationship Id="rId53" Type="http://schemas.openxmlformats.org/officeDocument/2006/relationships/hyperlink" Target="https://drive.google.com/file/d/1YNis_bTZ2SqBVx3jOdJGepz-u9w4xjCv/view?usp=share_link" TargetMode="External"/><Relationship Id="rId52" Type="http://schemas.openxmlformats.org/officeDocument/2006/relationships/hyperlink" Target="https://drive.google.com/file/d/1Dju-sP_gT3nje4U71pVaSTmia4X-Jixh/view?usp=share_link" TargetMode="External"/><Relationship Id="rId55" Type="http://schemas.openxmlformats.org/officeDocument/2006/relationships/hyperlink" Target="https://drive.google.com/file/d/1M49lrdPbo3IP-zZzG0eSaUtDIAafH0dY/view?usp=share_link" TargetMode="External"/><Relationship Id="rId54" Type="http://schemas.openxmlformats.org/officeDocument/2006/relationships/hyperlink" Target="https://drive.google.com/file/d/18ouL5lupRvPcxa1BQdAvAvZKF8u3e804/view?usp=share_link" TargetMode="External"/><Relationship Id="rId57" Type="http://schemas.openxmlformats.org/officeDocument/2006/relationships/hyperlink" Target="https://drive.google.com/file/d/1XCNSptwPdXke5nryy241HyBDyQcmJn-y/view?usp=share_link" TargetMode="External"/><Relationship Id="rId56" Type="http://schemas.openxmlformats.org/officeDocument/2006/relationships/hyperlink" Target="https://drive.google.com/file/d/1xwmkUcs7ptCn6znEM9gPjG7kM6hnwUto/view?usp=share_link" TargetMode="External"/><Relationship Id="rId59" Type="http://schemas.openxmlformats.org/officeDocument/2006/relationships/hyperlink" Target="https://drive.google.com/file/d/1zCpfe0ZL--3Dlzfdcv2AlaBq28wav6gK/view?usp=share_link" TargetMode="External"/><Relationship Id="rId58" Type="http://schemas.openxmlformats.org/officeDocument/2006/relationships/hyperlink" Target="https://drive.google.com/file/d/12u2SvirO6-BIZuDNSjokFfvqLWhNbpSV/view?usp=share_link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-MTnv6eOBemSCi4MPoT6MJuh2zVpjoC/view?usp=share_link" TargetMode="External"/><Relationship Id="rId10" Type="http://schemas.openxmlformats.org/officeDocument/2006/relationships/hyperlink" Target="https://drive.google.com/file/d/1yQt6nFw6J2PZMVMJ3vtJJKCqwg-i8ziu/view?usp=share_link" TargetMode="External"/><Relationship Id="rId13" Type="http://schemas.openxmlformats.org/officeDocument/2006/relationships/hyperlink" Target="https://drive.google.com/file/d/1gJ__5PKdFP1UJD1GMUEMezzexcnNnV3Q/view?usp=share_link" TargetMode="External"/><Relationship Id="rId12" Type="http://schemas.openxmlformats.org/officeDocument/2006/relationships/hyperlink" Target="https://drive.google.com/file/d/1KDTf0jFOQq2k0N9iK1Bvx1XGQeJMnZcl/view?usp=share_link" TargetMode="External"/><Relationship Id="rId15" Type="http://schemas.openxmlformats.org/officeDocument/2006/relationships/hyperlink" Target="https://drive.google.com/file/d/1Qzp1IzRePiHdkpvdTmpTWVbEWl1Jf3qJ/view?usp=share_link" TargetMode="External"/><Relationship Id="rId14" Type="http://schemas.openxmlformats.org/officeDocument/2006/relationships/hyperlink" Target="https://drive.google.com/file/d/1r14dNG7-a_-BdZUkEBO8judWfzzIsB63/view?usp=share_link" TargetMode="External"/><Relationship Id="rId17" Type="http://schemas.openxmlformats.org/officeDocument/2006/relationships/drawing" Target="../drawings/drawing9.xml"/><Relationship Id="rId16" Type="http://schemas.openxmlformats.org/officeDocument/2006/relationships/hyperlink" Target="https://drive.google.com/file/d/1FhgWMC1n83sJWdZ5XI8KvxffmRpcNJyR/view?usp=share_link" TargetMode="External"/><Relationship Id="rId1" Type="http://schemas.openxmlformats.org/officeDocument/2006/relationships/hyperlink" Target="https://drive.google.com/file/d/1ekKM3lDwFt6A9fHG01OHwa3-ZTJoRibf/view?usp=share_link" TargetMode="External"/><Relationship Id="rId2" Type="http://schemas.openxmlformats.org/officeDocument/2006/relationships/hyperlink" Target="https://drive.google.com/file/d/1D7d1is0c5vMKAbj4T9amr2YQOs2aFMC7/view?usp=share_link" TargetMode="External"/><Relationship Id="rId3" Type="http://schemas.openxmlformats.org/officeDocument/2006/relationships/hyperlink" Target="https://drive.google.com/file/d/1bQzIx0vxwtIbWKI3iE0a-QrLZuUdD2e5/view?usp=share_link" TargetMode="External"/><Relationship Id="rId4" Type="http://schemas.openxmlformats.org/officeDocument/2006/relationships/hyperlink" Target="https://drive.google.com/file/d/1yfNJFO5UWlRBqpOorhzFql8GLV1DBI3O/view?usp=share_link" TargetMode="External"/><Relationship Id="rId9" Type="http://schemas.openxmlformats.org/officeDocument/2006/relationships/hyperlink" Target="https://drive.google.com/file/d/1caDZx7nlb4nm6fGGPdZtigd65_Xcxv-i/view?usp=share_link" TargetMode="External"/><Relationship Id="rId5" Type="http://schemas.openxmlformats.org/officeDocument/2006/relationships/hyperlink" Target="https://drive.google.com/file/d/1iRc2HRi_O9voA9jTXlgCJZAh56u8h2xb/view?usp=share_link" TargetMode="External"/><Relationship Id="rId6" Type="http://schemas.openxmlformats.org/officeDocument/2006/relationships/hyperlink" Target="https://drive.google.com/file/d/1TWqDTAA3glNNE2ZitrY8Mc82hPcEGVp9/view?usp=share_link" TargetMode="External"/><Relationship Id="rId7" Type="http://schemas.openxmlformats.org/officeDocument/2006/relationships/hyperlink" Target="https://drive.google.com/file/d/1qAWvPuJhpa12TFzQTEi_qoSLWqUMr-Ur/view?usp=share_link" TargetMode="External"/><Relationship Id="rId8" Type="http://schemas.openxmlformats.org/officeDocument/2006/relationships/hyperlink" Target="https://drive.google.com/file/d/1kGNC1gEsjQVdGLjo5wyBbG-sEQqt2T2q/view?usp=share_link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typeform.grsm.io/yigf2tblxg1j" TargetMode="External"/><Relationship Id="rId41" Type="http://schemas.openxmlformats.org/officeDocument/2006/relationships/drawing" Target="../drawings/drawing10.xml"/><Relationship Id="rId31" Type="http://schemas.openxmlformats.org/officeDocument/2006/relationships/hyperlink" Target="https://partners.secomapp.com/apps/freegift/9999999999999" TargetMode="External"/><Relationship Id="rId30" Type="http://schemas.openxmlformats.org/officeDocument/2006/relationships/hyperlink" Target="https://octaneai.grsm.io/0i21uhsc6ljt" TargetMode="External"/><Relationship Id="rId33" Type="http://schemas.openxmlformats.org/officeDocument/2006/relationships/hyperlink" Target="https://partners.secomapp.com/apps/spin_to_win/9999999999999" TargetMode="External"/><Relationship Id="rId32" Type="http://schemas.openxmlformats.org/officeDocument/2006/relationships/hyperlink" Target="https://partners.secomapp.com/apps/currencyswitcher/9999999999999" TargetMode="External"/><Relationship Id="rId35" Type="http://schemas.openxmlformats.org/officeDocument/2006/relationships/hyperlink" Target="https://get.tidio.net/aff_c?offer_id=15&amp;aff_id=3220" TargetMode="External"/><Relationship Id="rId34" Type="http://schemas.openxmlformats.org/officeDocument/2006/relationships/hyperlink" Target="https://go.fiverr.com/visit/?bta=714294&amp;brand=fiverrcpa" TargetMode="External"/><Relationship Id="rId37" Type="http://schemas.openxmlformats.org/officeDocument/2006/relationships/hyperlink" Target="https://octaneai.grsm.io/0i21uhsc6ljt" TargetMode="External"/><Relationship Id="rId36" Type="http://schemas.openxmlformats.org/officeDocument/2006/relationships/hyperlink" Target="https://1password.grsm.io/14vwf1df1xc6" TargetMode="External"/><Relationship Id="rId39" Type="http://schemas.openxmlformats.org/officeDocument/2006/relationships/hyperlink" Target="https://try.timedoctor.com/4e9k58h8r81n" TargetMode="External"/><Relationship Id="rId38" Type="http://schemas.openxmlformats.org/officeDocument/2006/relationships/hyperlink" Target="https://reveal.grsm.io/2m02hk6q6pnq" TargetMode="External"/><Relationship Id="rId20" Type="http://schemas.openxmlformats.org/officeDocument/2006/relationships/hyperlink" Target="https://insense.pro/?ref=ndmwndu" TargetMode="External"/><Relationship Id="rId22" Type="http://schemas.openxmlformats.org/officeDocument/2006/relationships/hyperlink" Target="https://partnerstack.inflowinventory.com/0q42kyf1nl23" TargetMode="External"/><Relationship Id="rId21" Type="http://schemas.openxmlformats.org/officeDocument/2006/relationships/hyperlink" Target="https://billo.app/?ref=zdm4njb&amp;utm_source=tapfiliate&amp;utm_medium=affiliate" TargetMode="External"/><Relationship Id="rId24" Type="http://schemas.openxmlformats.org/officeDocument/2006/relationships/hyperlink" Target="https://unitelvoice.grsm.io/tnwx3t71n3g9" TargetMode="External"/><Relationship Id="rId23" Type="http://schemas.openxmlformats.org/officeDocument/2006/relationships/hyperlink" Target="https://go.nordvpn.net/aff_c?offer_id=15&amp;aff_id=86945&amp;url_id=902" TargetMode="External"/><Relationship Id="rId26" Type="http://schemas.openxmlformats.org/officeDocument/2006/relationships/hyperlink" Target="https://partners.secomapp.com/apps/affiliate/9999999999999" TargetMode="External"/><Relationship Id="rId25" Type="http://schemas.openxmlformats.org/officeDocument/2006/relationships/hyperlink" Target="https://www.livechat.com/?a=_tMS1lPVR&amp;utm_campaign=pp_livechat-default&amp;utm_source=PP" TargetMode="External"/><Relationship Id="rId28" Type="http://schemas.openxmlformats.org/officeDocument/2006/relationships/hyperlink" Target="https://vitals.co/shopify/7900278" TargetMode="External"/><Relationship Id="rId27" Type="http://schemas.openxmlformats.org/officeDocument/2006/relationships/hyperlink" Target="https://try.referralcandy.com/referral-marketing-2023/?ref=tim87" TargetMode="External"/><Relationship Id="rId29" Type="http://schemas.openxmlformats.org/officeDocument/2006/relationships/hyperlink" Target="https://viralsweep.com/?via=muze" TargetMode="External"/><Relationship Id="rId11" Type="http://schemas.openxmlformats.org/officeDocument/2006/relationships/hyperlink" Target="https://www.shophunter.io/?afmc=wt" TargetMode="External"/><Relationship Id="rId10" Type="http://schemas.openxmlformats.org/officeDocument/2006/relationships/hyperlink" Target="https://dropified.com/?fpr=tim13" TargetMode="External"/><Relationship Id="rId13" Type="http://schemas.openxmlformats.org/officeDocument/2006/relationships/hyperlink" Target="https://www.myprivateproxy.net/billing/aff.php?aff=3450" TargetMode="External"/><Relationship Id="rId12" Type="http://schemas.openxmlformats.org/officeDocument/2006/relationships/hyperlink" Target="https://parcelpanel.com/?ref=8yilZ9G2" TargetMode="External"/><Relationship Id="rId15" Type="http://schemas.openxmlformats.org/officeDocument/2006/relationships/hyperlink" Target="https://cbear.to/CQ8dQ" TargetMode="External"/><Relationship Id="rId14" Type="http://schemas.openxmlformats.org/officeDocument/2006/relationships/hyperlink" Target="https://subscription-admin.appstle.com/affiliates?fpr=muze31" TargetMode="External"/><Relationship Id="rId17" Type="http://schemas.openxmlformats.org/officeDocument/2006/relationships/hyperlink" Target="https://share.outgrow.biz/3ps3tqko87rc" TargetMode="External"/><Relationship Id="rId16" Type="http://schemas.openxmlformats.org/officeDocument/2006/relationships/hyperlink" Target="https://provesrc.com/?aff=190c8f60" TargetMode="External"/><Relationship Id="rId19" Type="http://schemas.openxmlformats.org/officeDocument/2006/relationships/hyperlink" Target="https://funnelish.com/?ref=mdk1ndb" TargetMode="External"/><Relationship Id="rId18" Type="http://schemas.openxmlformats.org/officeDocument/2006/relationships/hyperlink" Target="https://get.stamped.io/wmcszn2xxqn0" TargetMode="External"/><Relationship Id="rId1" Type="http://schemas.openxmlformats.org/officeDocument/2006/relationships/hyperlink" Target="https://start.trainual.com/dgad15ijmp7z" TargetMode="External"/><Relationship Id="rId2" Type="http://schemas.openxmlformats.org/officeDocument/2006/relationships/hyperlink" Target="https://www.clickfunnels.com/sign-up-flow?aff=496bd05e-7861-43d1-bed5-4cd5e15f6b6f-1WzEwLDEyOTY4XQ4" TargetMode="External"/><Relationship Id="rId3" Type="http://schemas.openxmlformats.org/officeDocument/2006/relationships/hyperlink" Target="http://adcreative.ai" TargetMode="External"/><Relationship Id="rId4" Type="http://schemas.openxmlformats.org/officeDocument/2006/relationships/hyperlink" Target="https://free-trial.adcreative.ai/2xeqdm2dsbyi" TargetMode="External"/><Relationship Id="rId9" Type="http://schemas.openxmlformats.org/officeDocument/2006/relationships/hyperlink" Target="https://spocket.grsm.io/n83yqvh57dvs" TargetMode="External"/><Relationship Id="rId5" Type="http://schemas.openxmlformats.org/officeDocument/2006/relationships/hyperlink" Target="https://www.stilyoapps.com/reconvert/v1/?scid=Kswx&amp;ref=ST01-VEIJzbZyugKwMpm" TargetMode="External"/><Relationship Id="rId6" Type="http://schemas.openxmlformats.org/officeDocument/2006/relationships/hyperlink" Target="https://foreplay.co/?via=tim-zengerink" TargetMode="External"/><Relationship Id="rId7" Type="http://schemas.openxmlformats.org/officeDocument/2006/relationships/hyperlink" Target="http://hyros.com/affiliate-grow.html?fpr=tim49" TargetMode="External"/><Relationship Id="rId8" Type="http://schemas.openxmlformats.org/officeDocument/2006/relationships/hyperlink" Target="https://anytrack.io/?utm_campaign=referral_campaign&amp;utm_medium=referral&amp;utm_source=rewardful&amp;via=dd32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13"/>
    <col hidden="1" min="8" max="8" width="12.63"/>
    <col customWidth="1" min="9" max="9" width="25.13"/>
    <col hidden="1" min="10" max="10" width="12.63"/>
    <col customWidth="1" min="11" max="11" width="25.13"/>
    <col customWidth="1" min="12" max="12" width="10.13"/>
    <col hidden="1" min="13" max="26" width="12.63"/>
  </cols>
  <sheetData>
    <row r="1" ht="52.5" customHeight="1">
      <c r="A1" s="1"/>
      <c r="B1" s="2"/>
      <c r="C1" s="3" t="s">
        <v>0</v>
      </c>
      <c r="D1" s="1"/>
      <c r="E1" s="1"/>
      <c r="F1" s="1"/>
      <c r="G1" s="1"/>
      <c r="H1" s="4"/>
      <c r="I1" s="4"/>
      <c r="J1" s="1"/>
      <c r="K1" s="1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7</v>
      </c>
      <c r="I2" s="6" t="s">
        <v>8</v>
      </c>
      <c r="J2" s="6" t="s">
        <v>9</v>
      </c>
      <c r="K2" s="6" t="s">
        <v>10</v>
      </c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8"/>
      <c r="B3" s="9" t="s">
        <v>11</v>
      </c>
      <c r="C3" s="10">
        <f t="shared" ref="C3:C10" si="1">COUNTIF(INDIRECT($B3&amp;"!$A:$A"),TRUE)+COUNTIF(INDIRECT($B3&amp;"!$A:$A"),FALSE)</f>
        <v>46</v>
      </c>
      <c r="D3" s="10">
        <f t="shared" ref="D3:D10" si="2">COUNTIF(INDIRECT($B3&amp;"!$E:$E"),"Bad")+COUNTIF(INDIRECT($B3&amp;"!$E:$E"),"Could be Better")</f>
        <v>0</v>
      </c>
      <c r="E3" s="10">
        <f t="shared" ref="E3:E10" si="3">COUNTIFS(INDIRECT($B3&amp;"!$A:$A"),TRUE,INDIRECT($B3&amp;"!$E:$E"),"Bad")+COUNTIFS(INDIRECT($B3&amp;"!$A:$A"),FALSE,INDIRECT($B3&amp;"!$E:$E"),"Could be Better")</f>
        <v>0</v>
      </c>
      <c r="F3" s="10">
        <f t="shared" ref="F3:F10" si="4">COUNTIF(INDIRECT($B3&amp;"!$A:$A"),TRUE)</f>
        <v>5</v>
      </c>
      <c r="G3" s="11">
        <f t="shared" ref="G3:G11" si="5">IFERROR(F3/C3,0)</f>
        <v>0.1086956522</v>
      </c>
      <c r="H3" s="12">
        <v>1.0</v>
      </c>
      <c r="I3" s="8" t="str">
        <f>IFERROR(__xludf.DUMMYFUNCTION("SPARKLINE(G3:H3,{""charttype"",""bar"";""max"",1;""color1"",""fbcb75"";""color2"",""#eeeeee""})"),"")</f>
        <v/>
      </c>
      <c r="J3" s="13">
        <v>3.0</v>
      </c>
      <c r="K3" s="8" t="str">
        <f>IFERROR(__xludf.DUMMYFUNCTION("SPARKLINE(J3,{""charttype"",""bar"";""max"",5;""min"",1;""color1"",""fbcb75""})"),"")</f>
        <v/>
      </c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75" customHeight="1">
      <c r="A4" s="16"/>
      <c r="B4" s="17" t="s">
        <v>12</v>
      </c>
      <c r="C4" s="18">
        <f t="shared" si="1"/>
        <v>20</v>
      </c>
      <c r="D4" s="18">
        <f t="shared" si="2"/>
        <v>0</v>
      </c>
      <c r="E4" s="18">
        <f t="shared" si="3"/>
        <v>0</v>
      </c>
      <c r="F4" s="18">
        <f t="shared" si="4"/>
        <v>0</v>
      </c>
      <c r="G4" s="19">
        <f t="shared" si="5"/>
        <v>0</v>
      </c>
      <c r="H4" s="20">
        <v>1.0</v>
      </c>
      <c r="I4" s="16" t="str">
        <f>IFERROR(__xludf.DUMMYFUNCTION("SPARKLINE(G4:H4,{""charttype"",""bar"";""max"",1;""color1"",""fbcb75"";""color2"",""#eeeeee""})"),"")</f>
        <v/>
      </c>
      <c r="J4" s="21">
        <v>2.0</v>
      </c>
      <c r="K4" s="16" t="str">
        <f>IFERROR(__xludf.DUMMYFUNCTION("SPARKLINE(J4,{""charttype"",""bar"";""max"",5;""min"",1;""color1"",""fbcb75""})"),"")</f>
        <v/>
      </c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6"/>
      <c r="B5" s="17" t="s">
        <v>13</v>
      </c>
      <c r="C5" s="18">
        <f t="shared" si="1"/>
        <v>70</v>
      </c>
      <c r="D5" s="18">
        <f t="shared" si="2"/>
        <v>0</v>
      </c>
      <c r="E5" s="18">
        <f t="shared" si="3"/>
        <v>0</v>
      </c>
      <c r="F5" s="18">
        <f t="shared" si="4"/>
        <v>0</v>
      </c>
      <c r="G5" s="19">
        <f t="shared" si="5"/>
        <v>0</v>
      </c>
      <c r="H5" s="20">
        <v>1.0</v>
      </c>
      <c r="I5" s="16" t="str">
        <f>IFERROR(__xludf.DUMMYFUNCTION("SPARKLINE(G5:H5,{""charttype"",""bar"";""max"",1;""color1"",""fbcb75"";""color2"",""#eeeeee""})"),"")</f>
        <v/>
      </c>
      <c r="J5" s="21">
        <v>3.0</v>
      </c>
      <c r="K5" s="16" t="str">
        <f>IFERROR(__xludf.DUMMYFUNCTION("SPARKLINE(J5,{""charttype"",""bar"";""max"",5;""min"",1;""color1"",""fbcb75""})"),"")</f>
        <v/>
      </c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8.75" customHeight="1">
      <c r="A6" s="16"/>
      <c r="B6" s="17" t="s">
        <v>14</v>
      </c>
      <c r="C6" s="18">
        <f t="shared" si="1"/>
        <v>29</v>
      </c>
      <c r="D6" s="18">
        <f t="shared" si="2"/>
        <v>0</v>
      </c>
      <c r="E6" s="18">
        <f t="shared" si="3"/>
        <v>0</v>
      </c>
      <c r="F6" s="18">
        <f t="shared" si="4"/>
        <v>1</v>
      </c>
      <c r="G6" s="19">
        <f t="shared" si="5"/>
        <v>0.03448275862</v>
      </c>
      <c r="H6" s="20">
        <v>1.0</v>
      </c>
      <c r="I6" s="16" t="str">
        <f>IFERROR(__xludf.DUMMYFUNCTION("SPARKLINE(G6:H6,{""charttype"",""bar"";""max"",1;""color1"",""fbcb75"";""color2"",""#eeeeee""})"),"")</f>
        <v/>
      </c>
      <c r="J6" s="21">
        <v>5.0</v>
      </c>
      <c r="K6" s="16" t="str">
        <f>IFERROR(__xludf.DUMMYFUNCTION("SPARKLINE(J6,{""charttype"",""bar"";""max"",5;""min"",1;""color1"",""fbcb75""})"),"")</f>
        <v/>
      </c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6"/>
      <c r="B7" s="17" t="s">
        <v>15</v>
      </c>
      <c r="C7" s="18">
        <f t="shared" si="1"/>
        <v>69</v>
      </c>
      <c r="D7" s="18">
        <f t="shared" si="2"/>
        <v>0</v>
      </c>
      <c r="E7" s="18">
        <f t="shared" si="3"/>
        <v>0</v>
      </c>
      <c r="F7" s="18">
        <f t="shared" si="4"/>
        <v>0</v>
      </c>
      <c r="G7" s="19">
        <f t="shared" si="5"/>
        <v>0</v>
      </c>
      <c r="H7" s="20">
        <v>1.0</v>
      </c>
      <c r="I7" s="16" t="str">
        <f>IFERROR(__xludf.DUMMYFUNCTION("SPARKLINE(G7:H7,{""charttype"",""bar"";""max"",1;""color1"",""fbcb75"";""color2"",""#eeeeee""})"),"")</f>
        <v/>
      </c>
      <c r="J7" s="21">
        <v>5.0</v>
      </c>
      <c r="K7" s="16" t="str">
        <f>IFERROR(__xludf.DUMMYFUNCTION("SPARKLINE(J7,{""charttype"",""bar"";""max"",5;""min"",1;""color1"",""fbcb75""})"),"")</f>
        <v/>
      </c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75" customHeight="1">
      <c r="A8" s="16"/>
      <c r="B8" s="22" t="s">
        <v>16</v>
      </c>
      <c r="C8" s="18">
        <f t="shared" si="1"/>
        <v>25</v>
      </c>
      <c r="D8" s="18">
        <f t="shared" si="2"/>
        <v>0</v>
      </c>
      <c r="E8" s="18">
        <f t="shared" si="3"/>
        <v>0</v>
      </c>
      <c r="F8" s="18">
        <f t="shared" si="4"/>
        <v>0</v>
      </c>
      <c r="G8" s="19">
        <f t="shared" si="5"/>
        <v>0</v>
      </c>
      <c r="H8" s="20">
        <v>1.0</v>
      </c>
      <c r="I8" s="16" t="str">
        <f>IFERROR(__xludf.DUMMYFUNCTION("SPARKLINE(G8:H8,{""charttype"",""bar"";""max"",1;""color1"",""fbcb75"";""color2"",""#eeeeee""})"),"")</f>
        <v/>
      </c>
      <c r="J8" s="21">
        <v>4.0</v>
      </c>
      <c r="K8" s="16" t="str">
        <f>IFERROR(__xludf.DUMMYFUNCTION("SPARKLINE(J8,{""charttype"",""bar"";""max"",5;""min"",1;""color1"",""fbcb75""})"),"")</f>
        <v/>
      </c>
      <c r="L8" s="14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75" customHeight="1">
      <c r="A9" s="16"/>
      <c r="B9" s="17" t="s">
        <v>17</v>
      </c>
      <c r="C9" s="18">
        <f t="shared" si="1"/>
        <v>38</v>
      </c>
      <c r="D9" s="18">
        <f t="shared" si="2"/>
        <v>0</v>
      </c>
      <c r="E9" s="18">
        <f t="shared" si="3"/>
        <v>0</v>
      </c>
      <c r="F9" s="18">
        <f t="shared" si="4"/>
        <v>2</v>
      </c>
      <c r="G9" s="19">
        <f t="shared" si="5"/>
        <v>0.05263157895</v>
      </c>
      <c r="H9" s="20">
        <v>1.0</v>
      </c>
      <c r="I9" s="16" t="str">
        <f>IFERROR(__xludf.DUMMYFUNCTION("SPARKLINE(G9:H9,{""charttype"",""bar"";""max"",1;""color1"",""fbcb75"";""color2"",""#eeeeee""})"),"")</f>
        <v/>
      </c>
      <c r="J9" s="21">
        <v>5.0</v>
      </c>
      <c r="K9" s="16" t="str">
        <f>IFERROR(__xludf.DUMMYFUNCTION("SPARKLINE(J9,{""charttype"",""bar"";""max"",5;""min"",1;""color1"",""fbcb75""})"),"")</f>
        <v/>
      </c>
      <c r="L9" s="14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75" customHeight="1">
      <c r="A10" s="23"/>
      <c r="B10" s="24" t="s">
        <v>18</v>
      </c>
      <c r="C10" s="25">
        <f t="shared" si="1"/>
        <v>8</v>
      </c>
      <c r="D10" s="25">
        <f t="shared" si="2"/>
        <v>0</v>
      </c>
      <c r="E10" s="25">
        <f t="shared" si="3"/>
        <v>0</v>
      </c>
      <c r="F10" s="25">
        <f t="shared" si="4"/>
        <v>0</v>
      </c>
      <c r="G10" s="26">
        <f t="shared" si="5"/>
        <v>0</v>
      </c>
      <c r="H10" s="27">
        <v>1.0</v>
      </c>
      <c r="I10" s="23" t="str">
        <f>IFERROR(__xludf.DUMMYFUNCTION("SPARKLINE(G10:H10,{""charttype"",""bar"";""max"",1;""color1"",""fbcb75"";""color2"",""#eeeeee""})"),"")</f>
        <v/>
      </c>
      <c r="J10" s="28">
        <v>3.0</v>
      </c>
      <c r="K10" s="23" t="str">
        <f>IFERROR(__xludf.DUMMYFUNCTION("SPARKLINE(J10,{""charttype"",""bar"";""max"",5;""min"",1;""color1"",""fbcb75""})"),"")</f>
        <v/>
      </c>
      <c r="L10" s="2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30"/>
      <c r="B11" s="31" t="s">
        <v>19</v>
      </c>
      <c r="C11" s="32">
        <f t="shared" ref="C11:F11" si="6">SUM(C3:C10)</f>
        <v>305</v>
      </c>
      <c r="D11" s="32">
        <f t="shared" si="6"/>
        <v>0</v>
      </c>
      <c r="E11" s="32">
        <f t="shared" si="6"/>
        <v>0</v>
      </c>
      <c r="F11" s="32">
        <f t="shared" si="6"/>
        <v>8</v>
      </c>
      <c r="G11" s="33">
        <f t="shared" si="5"/>
        <v>0.0262295082</v>
      </c>
      <c r="H11" s="34">
        <v>1.0</v>
      </c>
      <c r="I11" s="30" t="str">
        <f>IFERROR(__xludf.DUMMYFUNCTION("SPARKLINE(G11:H11,{""charttype"",""bar"";""max"",1;""color1"",""180c56"";""color2"",""#eeeeee""})"),"")</f>
        <v/>
      </c>
      <c r="J11" s="32"/>
      <c r="K11" s="30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8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37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8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37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6" t="s">
        <v>20</v>
      </c>
      <c r="B14" s="38" t="s">
        <v>21</v>
      </c>
      <c r="C14" s="39"/>
      <c r="D14" s="39"/>
      <c r="E14" s="39"/>
      <c r="F14" s="39"/>
      <c r="G14" s="39"/>
      <c r="H14" s="39"/>
      <c r="I14" s="39"/>
      <c r="J14" s="39"/>
      <c r="K14" s="40"/>
      <c r="L14" s="6" t="s">
        <v>22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8.75" customHeight="1">
      <c r="A15" s="41" t="b">
        <v>0</v>
      </c>
      <c r="B15" s="42" t="s">
        <v>23</v>
      </c>
      <c r="C15" s="43"/>
      <c r="D15" s="43"/>
      <c r="E15" s="43"/>
      <c r="F15" s="43"/>
      <c r="G15" s="43"/>
      <c r="H15" s="43"/>
      <c r="I15" s="43"/>
      <c r="J15" s="43"/>
      <c r="K15" s="44"/>
      <c r="L15" s="45" t="s">
        <v>22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8.75" customHeight="1">
      <c r="A16" s="41" t="b">
        <v>0</v>
      </c>
      <c r="B16" s="42" t="s">
        <v>24</v>
      </c>
      <c r="C16" s="43"/>
      <c r="D16" s="43"/>
      <c r="E16" s="43"/>
      <c r="F16" s="43"/>
      <c r="G16" s="43"/>
      <c r="H16" s="43"/>
      <c r="I16" s="43"/>
      <c r="J16" s="43"/>
      <c r="K16" s="44"/>
      <c r="L16" s="45" t="s">
        <v>22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8.75" customHeight="1">
      <c r="A17" s="41" t="b">
        <v>0</v>
      </c>
      <c r="B17" s="42" t="s">
        <v>25</v>
      </c>
      <c r="C17" s="43"/>
      <c r="D17" s="43"/>
      <c r="E17" s="43"/>
      <c r="F17" s="43"/>
      <c r="G17" s="43"/>
      <c r="H17" s="43"/>
      <c r="I17" s="43"/>
      <c r="J17" s="43"/>
      <c r="K17" s="44"/>
      <c r="L17" s="45" t="s">
        <v>22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8.75" customHeight="1">
      <c r="A18" s="41" t="b">
        <v>0</v>
      </c>
      <c r="B18" s="42" t="s">
        <v>26</v>
      </c>
      <c r="C18" s="43"/>
      <c r="D18" s="43"/>
      <c r="E18" s="43"/>
      <c r="F18" s="43"/>
      <c r="G18" s="43"/>
      <c r="H18" s="43"/>
      <c r="I18" s="43"/>
      <c r="J18" s="43"/>
      <c r="K18" s="44"/>
      <c r="L18" s="45" t="s">
        <v>22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8.75" customHeight="1">
      <c r="A19" s="41" t="b">
        <v>0</v>
      </c>
      <c r="B19" s="42" t="s">
        <v>27</v>
      </c>
      <c r="C19" s="43"/>
      <c r="D19" s="43"/>
      <c r="E19" s="43"/>
      <c r="F19" s="43"/>
      <c r="G19" s="43"/>
      <c r="H19" s="43"/>
      <c r="I19" s="43"/>
      <c r="J19" s="43"/>
      <c r="K19" s="44"/>
      <c r="L19" s="45" t="s">
        <v>22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8.75" customHeight="1">
      <c r="A20" s="41" t="b">
        <v>0</v>
      </c>
      <c r="B20" s="42" t="s">
        <v>28</v>
      </c>
      <c r="C20" s="43"/>
      <c r="D20" s="43"/>
      <c r="E20" s="43"/>
      <c r="F20" s="43"/>
      <c r="G20" s="43"/>
      <c r="H20" s="43"/>
      <c r="I20" s="43"/>
      <c r="J20" s="43"/>
      <c r="K20" s="44"/>
      <c r="L20" s="45" t="s">
        <v>22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8.75" customHeight="1">
      <c r="A21" s="41" t="b">
        <v>0</v>
      </c>
      <c r="B21" s="42" t="s">
        <v>29</v>
      </c>
      <c r="C21" s="43"/>
      <c r="D21" s="43"/>
      <c r="E21" s="43"/>
      <c r="F21" s="43"/>
      <c r="G21" s="43"/>
      <c r="H21" s="43"/>
      <c r="I21" s="43"/>
      <c r="J21" s="43"/>
      <c r="K21" s="44"/>
      <c r="L21" s="45" t="s">
        <v>22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8.75" customHeight="1">
      <c r="A22" s="41" t="b">
        <v>0</v>
      </c>
      <c r="B22" s="42" t="s">
        <v>30</v>
      </c>
      <c r="C22" s="43"/>
      <c r="D22" s="43"/>
      <c r="E22" s="43"/>
      <c r="F22" s="43"/>
      <c r="G22" s="43"/>
      <c r="H22" s="43"/>
      <c r="I22" s="43"/>
      <c r="J22" s="43"/>
      <c r="K22" s="44"/>
      <c r="L22" s="45" t="s">
        <v>22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8.75" customHeight="1">
      <c r="A23" s="41" t="b">
        <v>0</v>
      </c>
      <c r="B23" s="42" t="s">
        <v>31</v>
      </c>
      <c r="C23" s="43"/>
      <c r="D23" s="43"/>
      <c r="E23" s="43"/>
      <c r="F23" s="43"/>
      <c r="G23" s="43"/>
      <c r="H23" s="43"/>
      <c r="I23" s="43"/>
      <c r="J23" s="43"/>
      <c r="K23" s="44"/>
      <c r="L23" s="45" t="s">
        <v>22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8.75" customHeight="1">
      <c r="A24" s="46" t="b">
        <v>0</v>
      </c>
      <c r="B24" s="47" t="s">
        <v>32</v>
      </c>
      <c r="C24" s="48"/>
      <c r="D24" s="48"/>
      <c r="E24" s="48"/>
      <c r="F24" s="48"/>
      <c r="G24" s="48"/>
      <c r="H24" s="48"/>
      <c r="I24" s="48"/>
      <c r="J24" s="48"/>
      <c r="K24" s="49"/>
      <c r="L24" s="45" t="s">
        <v>22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8.75" customHeight="1">
      <c r="A25" s="41" t="b">
        <v>0</v>
      </c>
      <c r="B25" s="42" t="s">
        <v>33</v>
      </c>
      <c r="C25" s="43"/>
      <c r="D25" s="43"/>
      <c r="E25" s="43"/>
      <c r="F25" s="43"/>
      <c r="G25" s="43"/>
      <c r="H25" s="43"/>
      <c r="I25" s="43"/>
      <c r="J25" s="43"/>
      <c r="K25" s="44"/>
      <c r="L25" s="45" t="s">
        <v>22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8.75" customHeight="1">
      <c r="A26" s="41" t="b">
        <v>0</v>
      </c>
      <c r="B26" s="42" t="s">
        <v>34</v>
      </c>
      <c r="C26" s="43"/>
      <c r="D26" s="43"/>
      <c r="E26" s="43"/>
      <c r="F26" s="43"/>
      <c r="G26" s="43"/>
      <c r="H26" s="43"/>
      <c r="I26" s="43"/>
      <c r="J26" s="43"/>
      <c r="K26" s="44"/>
      <c r="L26" s="45" t="s">
        <v>22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8.75" customHeight="1">
      <c r="A27" s="41" t="b">
        <v>0</v>
      </c>
      <c r="B27" s="42" t="s">
        <v>35</v>
      </c>
      <c r="C27" s="43"/>
      <c r="D27" s="43"/>
      <c r="E27" s="43"/>
      <c r="F27" s="43"/>
      <c r="G27" s="43"/>
      <c r="H27" s="43"/>
      <c r="I27" s="43"/>
      <c r="J27" s="43"/>
      <c r="K27" s="44"/>
      <c r="L27" s="45" t="s">
        <v>22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8.75" customHeight="1">
      <c r="A28" s="41" t="b">
        <v>0</v>
      </c>
      <c r="B28" s="42" t="s">
        <v>36</v>
      </c>
      <c r="C28" s="43"/>
      <c r="D28" s="43"/>
      <c r="E28" s="43"/>
      <c r="F28" s="43"/>
      <c r="G28" s="43"/>
      <c r="H28" s="43"/>
      <c r="I28" s="43"/>
      <c r="J28" s="43"/>
      <c r="K28" s="44"/>
      <c r="L28" s="45" t="s">
        <v>22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75" customHeight="1">
      <c r="A29" s="41" t="b">
        <v>0</v>
      </c>
      <c r="B29" s="42" t="s">
        <v>37</v>
      </c>
      <c r="C29" s="43"/>
      <c r="D29" s="43"/>
      <c r="E29" s="43"/>
      <c r="F29" s="43"/>
      <c r="G29" s="43"/>
      <c r="H29" s="43"/>
      <c r="I29" s="43"/>
      <c r="J29" s="43"/>
      <c r="K29" s="44"/>
      <c r="L29" s="45" t="s">
        <v>22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75" customHeight="1">
      <c r="A30" s="41" t="b">
        <v>0</v>
      </c>
      <c r="B30" s="42" t="s">
        <v>38</v>
      </c>
      <c r="C30" s="43"/>
      <c r="D30" s="43"/>
      <c r="E30" s="43"/>
      <c r="F30" s="43"/>
      <c r="G30" s="43"/>
      <c r="H30" s="43"/>
      <c r="I30" s="43"/>
      <c r="J30" s="43"/>
      <c r="K30" s="44"/>
      <c r="L30" s="45" t="s">
        <v>22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8.75" customHeight="1">
      <c r="A31" s="41" t="b">
        <v>0</v>
      </c>
      <c r="B31" s="42" t="s">
        <v>39</v>
      </c>
      <c r="C31" s="43"/>
      <c r="D31" s="43"/>
      <c r="E31" s="43"/>
      <c r="F31" s="43"/>
      <c r="G31" s="43"/>
      <c r="H31" s="43"/>
      <c r="I31" s="43"/>
      <c r="J31" s="43"/>
      <c r="K31" s="44"/>
      <c r="L31" s="45" t="s">
        <v>22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8.75" customHeight="1">
      <c r="A32" s="41" t="b">
        <v>0</v>
      </c>
      <c r="B32" s="42" t="s">
        <v>40</v>
      </c>
      <c r="C32" s="43"/>
      <c r="D32" s="43"/>
      <c r="E32" s="43"/>
      <c r="F32" s="43"/>
      <c r="G32" s="43"/>
      <c r="H32" s="43"/>
      <c r="I32" s="43"/>
      <c r="J32" s="43"/>
      <c r="K32" s="44"/>
      <c r="L32" s="45" t="s">
        <v>22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8.75" customHeight="1">
      <c r="A33" s="41" t="b">
        <v>0</v>
      </c>
      <c r="B33" s="42" t="s">
        <v>41</v>
      </c>
      <c r="C33" s="43"/>
      <c r="D33" s="43"/>
      <c r="E33" s="43"/>
      <c r="F33" s="43"/>
      <c r="G33" s="43"/>
      <c r="H33" s="43"/>
      <c r="I33" s="43"/>
      <c r="J33" s="43"/>
      <c r="K33" s="44"/>
      <c r="L33" s="45" t="s">
        <v>22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8.75" customHeight="1">
      <c r="A34" s="41" t="b">
        <v>0</v>
      </c>
      <c r="B34" s="42" t="s">
        <v>42</v>
      </c>
      <c r="C34" s="43"/>
      <c r="D34" s="43"/>
      <c r="E34" s="43"/>
      <c r="F34" s="43"/>
      <c r="G34" s="43"/>
      <c r="H34" s="43"/>
      <c r="I34" s="43"/>
      <c r="J34" s="43"/>
      <c r="K34" s="44"/>
      <c r="L34" s="45" t="s">
        <v>22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8.75" customHeight="1">
      <c r="A35" s="41" t="b">
        <v>0</v>
      </c>
      <c r="B35" s="42" t="s">
        <v>43</v>
      </c>
      <c r="C35" s="43"/>
      <c r="D35" s="43"/>
      <c r="E35" s="43"/>
      <c r="F35" s="43"/>
      <c r="G35" s="43"/>
      <c r="H35" s="43"/>
      <c r="I35" s="43"/>
      <c r="J35" s="43"/>
      <c r="K35" s="44"/>
      <c r="L35" s="45" t="s">
        <v>22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8.75" customHeight="1">
      <c r="A36" s="41" t="b">
        <v>0</v>
      </c>
      <c r="B36" s="42" t="s">
        <v>44</v>
      </c>
      <c r="C36" s="43"/>
      <c r="D36" s="43"/>
      <c r="E36" s="43"/>
      <c r="F36" s="43"/>
      <c r="G36" s="43"/>
      <c r="H36" s="43"/>
      <c r="I36" s="43"/>
      <c r="J36" s="43"/>
      <c r="K36" s="44"/>
      <c r="L36" s="45" t="s">
        <v>22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8.75" customHeight="1">
      <c r="A37" s="41" t="b">
        <v>0</v>
      </c>
      <c r="B37" s="42" t="s">
        <v>45</v>
      </c>
      <c r="C37" s="43"/>
      <c r="D37" s="43"/>
      <c r="E37" s="43"/>
      <c r="F37" s="43"/>
      <c r="G37" s="43"/>
      <c r="H37" s="43"/>
      <c r="I37" s="43"/>
      <c r="J37" s="43"/>
      <c r="K37" s="44"/>
      <c r="L37" s="45" t="s">
        <v>22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8.75" customHeight="1">
      <c r="A38" s="41" t="b">
        <v>0</v>
      </c>
      <c r="B38" s="42" t="s">
        <v>46</v>
      </c>
      <c r="C38" s="43"/>
      <c r="D38" s="43"/>
      <c r="E38" s="43"/>
      <c r="F38" s="43"/>
      <c r="G38" s="43"/>
      <c r="H38" s="43"/>
      <c r="I38" s="43"/>
      <c r="J38" s="43"/>
      <c r="K38" s="44"/>
      <c r="L38" s="45" t="s">
        <v>22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8.75" customHeight="1">
      <c r="A39" s="41" t="b">
        <v>0</v>
      </c>
      <c r="B39" s="42" t="s">
        <v>47</v>
      </c>
      <c r="C39" s="43"/>
      <c r="D39" s="43"/>
      <c r="E39" s="43"/>
      <c r="F39" s="43"/>
      <c r="G39" s="43"/>
      <c r="H39" s="43"/>
      <c r="I39" s="43"/>
      <c r="J39" s="43"/>
      <c r="K39" s="44"/>
      <c r="L39" s="45" t="s">
        <v>22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8.75" customHeight="1">
      <c r="A40" s="41" t="b">
        <v>0</v>
      </c>
      <c r="B40" s="42" t="s">
        <v>48</v>
      </c>
      <c r="C40" s="43"/>
      <c r="D40" s="43"/>
      <c r="E40" s="43"/>
      <c r="F40" s="43"/>
      <c r="G40" s="43"/>
      <c r="H40" s="43"/>
      <c r="I40" s="43"/>
      <c r="J40" s="43"/>
      <c r="K40" s="44"/>
      <c r="L40" s="45" t="s">
        <v>22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8.75" customHeight="1">
      <c r="A41" s="41" t="b">
        <v>0</v>
      </c>
      <c r="B41" s="42" t="s">
        <v>49</v>
      </c>
      <c r="C41" s="43"/>
      <c r="D41" s="43"/>
      <c r="E41" s="43"/>
      <c r="F41" s="43"/>
      <c r="G41" s="43"/>
      <c r="H41" s="43"/>
      <c r="I41" s="43"/>
      <c r="J41" s="43"/>
      <c r="K41" s="44"/>
      <c r="L41" s="45" t="s">
        <v>22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8.75" customHeight="1">
      <c r="A42" s="41" t="b">
        <v>0</v>
      </c>
      <c r="B42" s="42" t="s">
        <v>50</v>
      </c>
      <c r="C42" s="43"/>
      <c r="D42" s="43"/>
      <c r="E42" s="43"/>
      <c r="F42" s="43"/>
      <c r="G42" s="43"/>
      <c r="H42" s="43"/>
      <c r="I42" s="43"/>
      <c r="J42" s="43"/>
      <c r="K42" s="44"/>
      <c r="L42" s="45" t="s">
        <v>22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8.75" customHeight="1">
      <c r="A43" s="41" t="b">
        <v>0</v>
      </c>
      <c r="B43" s="42" t="s">
        <v>51</v>
      </c>
      <c r="C43" s="43"/>
      <c r="D43" s="43"/>
      <c r="E43" s="43"/>
      <c r="F43" s="43"/>
      <c r="G43" s="43"/>
      <c r="H43" s="43"/>
      <c r="I43" s="43"/>
      <c r="J43" s="43"/>
      <c r="K43" s="44"/>
      <c r="L43" s="45" t="s">
        <v>22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8.75" customHeight="1">
      <c r="A44" s="41" t="b">
        <v>0</v>
      </c>
      <c r="B44" s="42" t="s">
        <v>52</v>
      </c>
      <c r="C44" s="43"/>
      <c r="D44" s="43"/>
      <c r="E44" s="43"/>
      <c r="F44" s="43"/>
      <c r="G44" s="43"/>
      <c r="H44" s="43"/>
      <c r="I44" s="43"/>
      <c r="J44" s="43"/>
      <c r="K44" s="44"/>
      <c r="L44" s="45" t="s">
        <v>22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8.75" customHeight="1">
      <c r="A45" s="41" t="b">
        <v>0</v>
      </c>
      <c r="B45" s="42" t="s">
        <v>53</v>
      </c>
      <c r="C45" s="43"/>
      <c r="D45" s="43"/>
      <c r="E45" s="43"/>
      <c r="F45" s="43"/>
      <c r="G45" s="43"/>
      <c r="H45" s="43"/>
      <c r="I45" s="43"/>
      <c r="J45" s="43"/>
      <c r="K45" s="44"/>
      <c r="L45" s="45" t="s">
        <v>22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8.75" customHeight="1">
      <c r="A46" s="41" t="b">
        <v>0</v>
      </c>
      <c r="B46" s="42" t="s">
        <v>54</v>
      </c>
      <c r="C46" s="43"/>
      <c r="D46" s="43"/>
      <c r="E46" s="43"/>
      <c r="F46" s="43"/>
      <c r="G46" s="43"/>
      <c r="H46" s="43"/>
      <c r="I46" s="43"/>
      <c r="J46" s="43"/>
      <c r="K46" s="44"/>
      <c r="L46" s="45" t="s">
        <v>22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8.75" customHeight="1">
      <c r="A47" s="41" t="b">
        <v>0</v>
      </c>
      <c r="B47" s="42" t="s">
        <v>55</v>
      </c>
      <c r="C47" s="43"/>
      <c r="D47" s="43"/>
      <c r="E47" s="43"/>
      <c r="F47" s="43"/>
      <c r="G47" s="43"/>
      <c r="H47" s="43"/>
      <c r="I47" s="43"/>
      <c r="J47" s="43"/>
      <c r="K47" s="44"/>
      <c r="L47" s="45" t="s">
        <v>22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8.75" customHeight="1">
      <c r="A48" s="41" t="b">
        <v>0</v>
      </c>
      <c r="B48" s="42" t="s">
        <v>56</v>
      </c>
      <c r="C48" s="43"/>
      <c r="D48" s="43"/>
      <c r="E48" s="43"/>
      <c r="F48" s="43"/>
      <c r="G48" s="43"/>
      <c r="H48" s="43"/>
      <c r="I48" s="43"/>
      <c r="J48" s="43"/>
      <c r="K48" s="44"/>
      <c r="L48" s="45" t="s">
        <v>22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8.75" customHeight="1">
      <c r="A49" s="41" t="b">
        <v>0</v>
      </c>
      <c r="B49" s="42" t="s">
        <v>57</v>
      </c>
      <c r="C49" s="43"/>
      <c r="D49" s="43"/>
      <c r="E49" s="43"/>
      <c r="F49" s="43"/>
      <c r="G49" s="43"/>
      <c r="H49" s="43"/>
      <c r="I49" s="43"/>
      <c r="J49" s="43"/>
      <c r="K49" s="44"/>
      <c r="L49" s="45" t="s">
        <v>22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1" ht="22.5" customHeight="1">
      <c r="A51" s="6" t="s">
        <v>20</v>
      </c>
      <c r="B51" s="38" t="s">
        <v>58</v>
      </c>
      <c r="C51" s="39"/>
      <c r="D51" s="39"/>
      <c r="E51" s="39"/>
      <c r="F51" s="39"/>
      <c r="G51" s="39"/>
      <c r="H51" s="39"/>
      <c r="I51" s="39"/>
      <c r="J51" s="39"/>
      <c r="K51" s="40"/>
      <c r="L51" s="6" t="s">
        <v>22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8.75" customHeight="1">
      <c r="A52" s="46" t="b">
        <v>0</v>
      </c>
      <c r="B52" s="47" t="s">
        <v>59</v>
      </c>
      <c r="C52" s="48"/>
      <c r="D52" s="48"/>
      <c r="E52" s="48"/>
      <c r="F52" s="48"/>
      <c r="G52" s="48"/>
      <c r="H52" s="48"/>
      <c r="I52" s="48"/>
      <c r="J52" s="48"/>
      <c r="K52" s="49"/>
      <c r="L52" s="45" t="s">
        <v>60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8.75" customHeight="1">
      <c r="A53" s="41" t="b">
        <v>0</v>
      </c>
      <c r="B53" s="42" t="s">
        <v>61</v>
      </c>
      <c r="C53" s="43"/>
      <c r="D53" s="43"/>
      <c r="E53" s="43"/>
      <c r="F53" s="43"/>
      <c r="G53" s="43"/>
      <c r="H53" s="43"/>
      <c r="I53" s="43"/>
      <c r="J53" s="43"/>
      <c r="K53" s="44"/>
      <c r="L53" s="45" t="s">
        <v>62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8.75" customHeight="1">
      <c r="A54" s="41" t="b">
        <v>0</v>
      </c>
      <c r="B54" s="42" t="s">
        <v>63</v>
      </c>
      <c r="C54" s="43"/>
      <c r="D54" s="43"/>
      <c r="E54" s="43"/>
      <c r="F54" s="43"/>
      <c r="G54" s="43"/>
      <c r="H54" s="43"/>
      <c r="I54" s="43"/>
      <c r="J54" s="43"/>
      <c r="K54" s="44"/>
      <c r="L54" s="45" t="s">
        <v>64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8.75" customHeight="1">
      <c r="A55" s="41" t="b">
        <v>0</v>
      </c>
      <c r="B55" s="42" t="s">
        <v>65</v>
      </c>
      <c r="C55" s="43"/>
      <c r="D55" s="43"/>
      <c r="E55" s="43"/>
      <c r="F55" s="43"/>
      <c r="G55" s="43"/>
      <c r="H55" s="43"/>
      <c r="I55" s="43"/>
      <c r="J55" s="43"/>
      <c r="K55" s="44"/>
      <c r="L55" s="45" t="s">
        <v>66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8.75" customHeight="1">
      <c r="A56" s="41" t="b">
        <v>0</v>
      </c>
      <c r="B56" s="42" t="s">
        <v>67</v>
      </c>
      <c r="C56" s="43"/>
      <c r="D56" s="43"/>
      <c r="E56" s="43"/>
      <c r="F56" s="43"/>
      <c r="G56" s="43"/>
      <c r="H56" s="43"/>
      <c r="I56" s="43"/>
      <c r="J56" s="43"/>
      <c r="K56" s="44"/>
      <c r="L56" s="45" t="s">
        <v>68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8.75" customHeight="1">
      <c r="A57" s="41" t="b">
        <v>0</v>
      </c>
      <c r="B57" s="42" t="s">
        <v>69</v>
      </c>
      <c r="C57" s="43"/>
      <c r="D57" s="43"/>
      <c r="E57" s="43"/>
      <c r="F57" s="43"/>
      <c r="G57" s="43"/>
      <c r="H57" s="43"/>
      <c r="I57" s="43"/>
      <c r="J57" s="43"/>
      <c r="K57" s="44"/>
      <c r="L57" s="45" t="s">
        <v>70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8.75" customHeight="1">
      <c r="A58" s="41" t="b">
        <v>0</v>
      </c>
      <c r="B58" s="42" t="s">
        <v>71</v>
      </c>
      <c r="C58" s="43"/>
      <c r="D58" s="43"/>
      <c r="E58" s="43"/>
      <c r="F58" s="43"/>
      <c r="G58" s="43"/>
      <c r="H58" s="43"/>
      <c r="I58" s="43"/>
      <c r="J58" s="43"/>
      <c r="K58" s="44"/>
      <c r="L58" s="45" t="s">
        <v>72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8.75" customHeight="1">
      <c r="A59" s="41" t="b">
        <v>0</v>
      </c>
      <c r="B59" s="42" t="s">
        <v>73</v>
      </c>
      <c r="C59" s="43"/>
      <c r="D59" s="43"/>
      <c r="E59" s="43"/>
      <c r="F59" s="43"/>
      <c r="G59" s="43"/>
      <c r="H59" s="43"/>
      <c r="I59" s="43"/>
      <c r="J59" s="43"/>
      <c r="K59" s="44"/>
      <c r="L59" s="45" t="s">
        <v>74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8.75" customHeight="1">
      <c r="A60" s="41" t="b">
        <v>0</v>
      </c>
      <c r="B60" s="42" t="s">
        <v>75</v>
      </c>
      <c r="C60" s="43"/>
      <c r="D60" s="43"/>
      <c r="E60" s="43"/>
      <c r="F60" s="43"/>
      <c r="G60" s="43"/>
      <c r="H60" s="43"/>
      <c r="I60" s="43"/>
      <c r="J60" s="43"/>
      <c r="K60" s="44"/>
      <c r="L60" s="45" t="s">
        <v>76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8.75" customHeight="1">
      <c r="A61" s="41" t="b">
        <v>0</v>
      </c>
      <c r="B61" s="42" t="s">
        <v>77</v>
      </c>
      <c r="C61" s="43"/>
      <c r="D61" s="43"/>
      <c r="E61" s="43"/>
      <c r="F61" s="43"/>
      <c r="G61" s="43"/>
      <c r="H61" s="43"/>
      <c r="I61" s="43"/>
      <c r="J61" s="43"/>
      <c r="K61" s="44"/>
      <c r="L61" s="45" t="s">
        <v>78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8.75" customHeight="1">
      <c r="A62" s="41" t="b">
        <v>0</v>
      </c>
      <c r="B62" s="42" t="s">
        <v>79</v>
      </c>
      <c r="C62" s="43"/>
      <c r="D62" s="43"/>
      <c r="E62" s="43"/>
      <c r="F62" s="43"/>
      <c r="G62" s="43"/>
      <c r="H62" s="43"/>
      <c r="I62" s="43"/>
      <c r="J62" s="43"/>
      <c r="K62" s="44"/>
      <c r="L62" s="45" t="s">
        <v>80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8.75" customHeight="1">
      <c r="A63" s="41" t="b">
        <v>0</v>
      </c>
      <c r="B63" s="42" t="s">
        <v>81</v>
      </c>
      <c r="C63" s="43"/>
      <c r="D63" s="43"/>
      <c r="E63" s="43"/>
      <c r="F63" s="43"/>
      <c r="G63" s="43"/>
      <c r="H63" s="43"/>
      <c r="I63" s="43"/>
      <c r="J63" s="43"/>
      <c r="K63" s="44"/>
      <c r="L63" s="45" t="s">
        <v>82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8.75" customHeight="1">
      <c r="A64" s="41" t="b">
        <v>0</v>
      </c>
      <c r="B64" s="42" t="s">
        <v>83</v>
      </c>
      <c r="C64" s="43"/>
      <c r="D64" s="43"/>
      <c r="E64" s="43"/>
      <c r="F64" s="43"/>
      <c r="G64" s="43"/>
      <c r="H64" s="43"/>
      <c r="I64" s="43"/>
      <c r="J64" s="43"/>
      <c r="K64" s="44"/>
      <c r="L64" s="45" t="s">
        <v>84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8.75" customHeight="1">
      <c r="A65" s="41" t="b">
        <v>0</v>
      </c>
      <c r="B65" s="42" t="s">
        <v>85</v>
      </c>
      <c r="C65" s="43"/>
      <c r="D65" s="43"/>
      <c r="E65" s="43"/>
      <c r="F65" s="43"/>
      <c r="G65" s="43"/>
      <c r="H65" s="43"/>
      <c r="I65" s="43"/>
      <c r="J65" s="43"/>
      <c r="K65" s="44"/>
      <c r="L65" s="45" t="s">
        <v>86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8.75" customHeight="1">
      <c r="A66" s="41" t="b">
        <v>0</v>
      </c>
      <c r="B66" s="42" t="s">
        <v>87</v>
      </c>
      <c r="C66" s="43"/>
      <c r="D66" s="43"/>
      <c r="E66" s="43"/>
      <c r="F66" s="43"/>
      <c r="G66" s="43"/>
      <c r="H66" s="43"/>
      <c r="I66" s="43"/>
      <c r="J66" s="43"/>
      <c r="K66" s="44"/>
      <c r="L66" s="45" t="s">
        <v>88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8.75" customHeight="1">
      <c r="A67" s="41" t="b">
        <v>0</v>
      </c>
      <c r="B67" s="42" t="s">
        <v>89</v>
      </c>
      <c r="C67" s="43"/>
      <c r="D67" s="43"/>
      <c r="E67" s="43"/>
      <c r="F67" s="43"/>
      <c r="G67" s="43"/>
      <c r="H67" s="43"/>
      <c r="I67" s="43"/>
      <c r="J67" s="43"/>
      <c r="K67" s="44"/>
      <c r="L67" s="45" t="s">
        <v>90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8.75" customHeight="1">
      <c r="A68" s="41" t="b">
        <v>0</v>
      </c>
      <c r="B68" s="42" t="s">
        <v>91</v>
      </c>
      <c r="C68" s="43"/>
      <c r="D68" s="43"/>
      <c r="E68" s="43"/>
      <c r="F68" s="43"/>
      <c r="G68" s="43"/>
      <c r="H68" s="43"/>
      <c r="I68" s="43"/>
      <c r="J68" s="43"/>
      <c r="K68" s="44"/>
      <c r="L68" s="45" t="s">
        <v>92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8.75" customHeight="1">
      <c r="A69" s="41" t="b">
        <v>0</v>
      </c>
      <c r="B69" s="42" t="s">
        <v>93</v>
      </c>
      <c r="C69" s="43"/>
      <c r="D69" s="43"/>
      <c r="E69" s="43"/>
      <c r="F69" s="43"/>
      <c r="G69" s="43"/>
      <c r="H69" s="43"/>
      <c r="I69" s="43"/>
      <c r="J69" s="43"/>
      <c r="K69" s="44"/>
      <c r="L69" s="45" t="s">
        <v>94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8.75" customHeight="1">
      <c r="A70" s="41" t="b">
        <v>0</v>
      </c>
      <c r="B70" s="42" t="s">
        <v>95</v>
      </c>
      <c r="C70" s="43"/>
      <c r="D70" s="43"/>
      <c r="E70" s="43"/>
      <c r="F70" s="43"/>
      <c r="G70" s="43"/>
      <c r="H70" s="43"/>
      <c r="I70" s="43"/>
      <c r="J70" s="43"/>
      <c r="K70" s="44"/>
      <c r="L70" s="45" t="s">
        <v>96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8.75" customHeight="1">
      <c r="A71" s="41" t="b">
        <v>0</v>
      </c>
      <c r="B71" s="42" t="s">
        <v>97</v>
      </c>
      <c r="C71" s="43"/>
      <c r="D71" s="43"/>
      <c r="E71" s="43"/>
      <c r="F71" s="43"/>
      <c r="G71" s="43"/>
      <c r="H71" s="43"/>
      <c r="I71" s="43"/>
      <c r="J71" s="43"/>
      <c r="K71" s="44"/>
      <c r="L71" s="45" t="s">
        <v>98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8.75" customHeight="1">
      <c r="A72" s="41" t="b">
        <v>0</v>
      </c>
      <c r="B72" s="42" t="s">
        <v>99</v>
      </c>
      <c r="C72" s="43"/>
      <c r="D72" s="43"/>
      <c r="E72" s="43"/>
      <c r="F72" s="43"/>
      <c r="G72" s="43"/>
      <c r="H72" s="43"/>
      <c r="I72" s="43"/>
      <c r="J72" s="43"/>
      <c r="K72" s="44"/>
      <c r="L72" s="45" t="s">
        <v>100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8.75" customHeight="1">
      <c r="A73" s="41" t="b">
        <v>0</v>
      </c>
      <c r="B73" s="42" t="s">
        <v>101</v>
      </c>
      <c r="C73" s="43"/>
      <c r="D73" s="43"/>
      <c r="E73" s="43"/>
      <c r="F73" s="43"/>
      <c r="G73" s="43"/>
      <c r="H73" s="43"/>
      <c r="I73" s="43"/>
      <c r="J73" s="43"/>
      <c r="K73" s="44"/>
      <c r="L73" s="45" t="s">
        <v>102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8.75" customHeight="1">
      <c r="A74" s="41" t="b">
        <v>0</v>
      </c>
      <c r="B74" s="42" t="s">
        <v>103</v>
      </c>
      <c r="C74" s="43"/>
      <c r="D74" s="43"/>
      <c r="E74" s="43"/>
      <c r="F74" s="43"/>
      <c r="G74" s="43"/>
      <c r="H74" s="43"/>
      <c r="I74" s="43"/>
      <c r="J74" s="43"/>
      <c r="K74" s="44"/>
      <c r="L74" s="45" t="s">
        <v>104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8.75" customHeight="1">
      <c r="A75" s="41" t="b">
        <v>0</v>
      </c>
      <c r="B75" s="42" t="s">
        <v>105</v>
      </c>
      <c r="C75" s="43"/>
      <c r="D75" s="43"/>
      <c r="E75" s="43"/>
      <c r="F75" s="43"/>
      <c r="G75" s="43"/>
      <c r="H75" s="43"/>
      <c r="I75" s="43"/>
      <c r="J75" s="43"/>
      <c r="K75" s="44"/>
      <c r="L75" s="45" t="s">
        <v>106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8.75" customHeight="1">
      <c r="A76" s="41" t="b">
        <v>0</v>
      </c>
      <c r="B76" s="42" t="s">
        <v>107</v>
      </c>
      <c r="C76" s="43"/>
      <c r="D76" s="43"/>
      <c r="E76" s="43"/>
      <c r="F76" s="43"/>
      <c r="G76" s="43"/>
      <c r="H76" s="43"/>
      <c r="I76" s="43"/>
      <c r="J76" s="43"/>
      <c r="K76" s="44"/>
      <c r="L76" s="45" t="s">
        <v>108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8.75" customHeight="1">
      <c r="A77" s="41" t="b">
        <v>0</v>
      </c>
      <c r="B77" s="42" t="s">
        <v>109</v>
      </c>
      <c r="C77" s="43"/>
      <c r="D77" s="43"/>
      <c r="E77" s="43"/>
      <c r="F77" s="43"/>
      <c r="G77" s="43"/>
      <c r="H77" s="43"/>
      <c r="I77" s="43"/>
      <c r="J77" s="43"/>
      <c r="K77" s="44"/>
      <c r="L77" s="45" t="s">
        <v>110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8.75" customHeight="1">
      <c r="A78" s="41" t="b">
        <v>0</v>
      </c>
      <c r="B78" s="42" t="s">
        <v>111</v>
      </c>
      <c r="C78" s="43"/>
      <c r="D78" s="43"/>
      <c r="E78" s="43"/>
      <c r="F78" s="43"/>
      <c r="G78" s="43"/>
      <c r="H78" s="43"/>
      <c r="I78" s="43"/>
      <c r="J78" s="43"/>
      <c r="K78" s="44"/>
      <c r="L78" s="45" t="s">
        <v>112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8.75" customHeight="1">
      <c r="A79" s="41" t="b">
        <v>0</v>
      </c>
      <c r="B79" s="42" t="s">
        <v>113</v>
      </c>
      <c r="C79" s="43"/>
      <c r="D79" s="43"/>
      <c r="E79" s="43"/>
      <c r="F79" s="43"/>
      <c r="G79" s="43"/>
      <c r="H79" s="43"/>
      <c r="I79" s="43"/>
      <c r="J79" s="43"/>
      <c r="K79" s="44"/>
      <c r="L79" s="45" t="s">
        <v>114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8.75" customHeight="1">
      <c r="A80" s="41" t="b">
        <v>0</v>
      </c>
      <c r="B80" s="42" t="s">
        <v>115</v>
      </c>
      <c r="C80" s="43"/>
      <c r="D80" s="43"/>
      <c r="E80" s="43"/>
      <c r="F80" s="43"/>
      <c r="G80" s="43"/>
      <c r="H80" s="43"/>
      <c r="I80" s="43"/>
      <c r="J80" s="43"/>
      <c r="K80" s="44"/>
      <c r="L80" s="45" t="s">
        <v>116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8.75" customHeight="1">
      <c r="A81" s="41" t="b">
        <v>0</v>
      </c>
      <c r="B81" s="42" t="s">
        <v>117</v>
      </c>
      <c r="C81" s="43"/>
      <c r="D81" s="43"/>
      <c r="E81" s="43"/>
      <c r="F81" s="43"/>
      <c r="G81" s="43"/>
      <c r="H81" s="43"/>
      <c r="I81" s="43"/>
      <c r="J81" s="43"/>
      <c r="K81" s="44"/>
      <c r="L81" s="45" t="s">
        <v>104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8.75" customHeight="1">
      <c r="A82" s="50" t="b">
        <v>0</v>
      </c>
      <c r="B82" s="51" t="s">
        <v>118</v>
      </c>
      <c r="C82" s="52"/>
      <c r="D82" s="52"/>
      <c r="E82" s="52"/>
      <c r="F82" s="52"/>
      <c r="G82" s="52"/>
      <c r="H82" s="52"/>
      <c r="I82" s="52"/>
      <c r="J82" s="52"/>
      <c r="K82" s="53"/>
      <c r="L82" s="54" t="s">
        <v>119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8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37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8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37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8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37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8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37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8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37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8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37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8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37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8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37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8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37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8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37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8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37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8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37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8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37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8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37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8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37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8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37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8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37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8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37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8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37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8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37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8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37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8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37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8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37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8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37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8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37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8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37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8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37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8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37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8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37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8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37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8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37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8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37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8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37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8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37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8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37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8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37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8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37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8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37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8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37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8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37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8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37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8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37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8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37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8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37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8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37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8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37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8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37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8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37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8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37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8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37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8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37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8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37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8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37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8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37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8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37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8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37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8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37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8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37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8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37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8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37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8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37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8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37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8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37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8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37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8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37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8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37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8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37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8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37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8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37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8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37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8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37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8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37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8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37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8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37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8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37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8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37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8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37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8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37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8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37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8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37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8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37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8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37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8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37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8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37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8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37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8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37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8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37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8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37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8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37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8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37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8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37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8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37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8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37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8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37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8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37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8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37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8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37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8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37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8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37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8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37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8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37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8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37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8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37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8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37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8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37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8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37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8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37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8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37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8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37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8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37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8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37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8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37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8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37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8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37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8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37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8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37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8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37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8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37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8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37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8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37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8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37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8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37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8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37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8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37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8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37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8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37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8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37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8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37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8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37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8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37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8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37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8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37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8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37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8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37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8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37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8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37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8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37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8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37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8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37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8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37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8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37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8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37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8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37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8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37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8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37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8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37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8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37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8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37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8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37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8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37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8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37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8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37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8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37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8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37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8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37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8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37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8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37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8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37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8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37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8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37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8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37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8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37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8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37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8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37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8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37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8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37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8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37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8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37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8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37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8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37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8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37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8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37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8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37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8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37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8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37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8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37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8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37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8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37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8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37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8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37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8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37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8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37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8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37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8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37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8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37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8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37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8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37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8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37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8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37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8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37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8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37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8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37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8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37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8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37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8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37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8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37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8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37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8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37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8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37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8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37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8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37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8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37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8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37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8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37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8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37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8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37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8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37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8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37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8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37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8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37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8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37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8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37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8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37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8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37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8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37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8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37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8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37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8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37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8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37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8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37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8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37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8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37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8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37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8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37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8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37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8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37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8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37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8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37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8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37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8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37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8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37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8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37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8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37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8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37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8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37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8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37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8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37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8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37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8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37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8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37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8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37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8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37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8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37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8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37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8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37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8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37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8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37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8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37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8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37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8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37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8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37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8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37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8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37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8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37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8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37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8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37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8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37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8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37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8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37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8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37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8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37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8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37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8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37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8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37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8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37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8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37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8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37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8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37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8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37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8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37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8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37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8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37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8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37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8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37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8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37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8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37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8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37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8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37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8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37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8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37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8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37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8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37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8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37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8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37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8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37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8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37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8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37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8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37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8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37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8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37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8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37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8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37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8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37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8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37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8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37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8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37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8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37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8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37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8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37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8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37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8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37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8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37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8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37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8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37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8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37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8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37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8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37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8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37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8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37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8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37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8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37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8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37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8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37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8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37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8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37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8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37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8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37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8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37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8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37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8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37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8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37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8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37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8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37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8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37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8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37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8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37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8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37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8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37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8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37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8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37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8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37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8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37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8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37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8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37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8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37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8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37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8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37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8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37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8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37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8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37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8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37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8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37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8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37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8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37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8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37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8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37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8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37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8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37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8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37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8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37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8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37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8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37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8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37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8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37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8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37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8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37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8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37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8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37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8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37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8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37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8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37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8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37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8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37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8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37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8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37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8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37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8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37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8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37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8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37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8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37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8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37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8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37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8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37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8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37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8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37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8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37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8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37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8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37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8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37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8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37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8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37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8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37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8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37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8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37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8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37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8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37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8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37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8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37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8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37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8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37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8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37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8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37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8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37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8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37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8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37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8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37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8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37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8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37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8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37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8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37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8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37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8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37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8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37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8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37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8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37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8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37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8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37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8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37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8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37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8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37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8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37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8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37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8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37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8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37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8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37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8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37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8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37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8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37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8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37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8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37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8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37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8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37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8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37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8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37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8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37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8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37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8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37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8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37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8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37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8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37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8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37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8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37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8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37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8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37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8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37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8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37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8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37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8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37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8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37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8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37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8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37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8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37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8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37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8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37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8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37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8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37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8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37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8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37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8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37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8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37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8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37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8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37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8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37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8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37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8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37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8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37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8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37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8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37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8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37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8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37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8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37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8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37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8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37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8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37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8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37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8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37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8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37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8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37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8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37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8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37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8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37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8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37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8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37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8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37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8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37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8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37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8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37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8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37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8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37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8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37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8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37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8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37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8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37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8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37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8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37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8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37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8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37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8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37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8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37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8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37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8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37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8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37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8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37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8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37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8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37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8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37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8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37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8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37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8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37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8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37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8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37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8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37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8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37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8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37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8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37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8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37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8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37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8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37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8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37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8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37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8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37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8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37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8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37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8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37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8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37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8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37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8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37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8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37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8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37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8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37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8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37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8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37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8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37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8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37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8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37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8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37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8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37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8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37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8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37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8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37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8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37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8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37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8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37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8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37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8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37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8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37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8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37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8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37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8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37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8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37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8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37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8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37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8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37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8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37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8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37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8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37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8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37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8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37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8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37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8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37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8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37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8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37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8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37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8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37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8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37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8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37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8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37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8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37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8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37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8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37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8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37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8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37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8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37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8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37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8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37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8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37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8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37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8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37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8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37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8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37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8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37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8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37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8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37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8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37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8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37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8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37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8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37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8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37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8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37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8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37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8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37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8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37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8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37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8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37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8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37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8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37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8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37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8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37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8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37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8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37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8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37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8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37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8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37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8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37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8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37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8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37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8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37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8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37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8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37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8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37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8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37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8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37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8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37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8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37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8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37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8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37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8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37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8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37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8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37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8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37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8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37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8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37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8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37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8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37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8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37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8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37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8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37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8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37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8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37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8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37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8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37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8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37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8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37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8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37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8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37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8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37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8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37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8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37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8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37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8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37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8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37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8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37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8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37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8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37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8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37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8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37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8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37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8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37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8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37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8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37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8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37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8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37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8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37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8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37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8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37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8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37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8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37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8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37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8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37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8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37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8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37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8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37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8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37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8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37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8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37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8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37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8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37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8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37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8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37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8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37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8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37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8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37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8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37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8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37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8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37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8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37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8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37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8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37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8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37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8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37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8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37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8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37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8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37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8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37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8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37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8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37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8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37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8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37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8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37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8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37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8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37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8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37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8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37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8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37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8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37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8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37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8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37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8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37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8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37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8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37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8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37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8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37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8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37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8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37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8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37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8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37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8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37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8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37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8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37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8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37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8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37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8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37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8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37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8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37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8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37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8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37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8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37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8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37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8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37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8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37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8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37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8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37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8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37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8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37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8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37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8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37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8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37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8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37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8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37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8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37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8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37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8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37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8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37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8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37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8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37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8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37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8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37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8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37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8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37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8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37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8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37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8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37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8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37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8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37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8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37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8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37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8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37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8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37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8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37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8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37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8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37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8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37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8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37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8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37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8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37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8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37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8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37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8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37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8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37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8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37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8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37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8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37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8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37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8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37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8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37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8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37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8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37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8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37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8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37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8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37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8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37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8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37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8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37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8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37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8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37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8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37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8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37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8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37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8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37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8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37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8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37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8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37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8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37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8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37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8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37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8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37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8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37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8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37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8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37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8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37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8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37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8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37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8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37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8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37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8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37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8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37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8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37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8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37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8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37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8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37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8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37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8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37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8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37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8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37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8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37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8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37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8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37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8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37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8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37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8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37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8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37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8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37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8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37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8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37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8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37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8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37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8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37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8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37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8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37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8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37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8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37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8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37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8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37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8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37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8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37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8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37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8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37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8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37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8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37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8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37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8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37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8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37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8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37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8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37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8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37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8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37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8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37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8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37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8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37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8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37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</sheetData>
  <conditionalFormatting sqref="L3:L10 L15:L82">
    <cfRule type="expression" dxfId="0" priority="1">
      <formula>$A3=TRUE</formula>
    </cfRule>
  </conditionalFormatting>
  <conditionalFormatting sqref="L3:L10 L15:L82">
    <cfRule type="expression" dxfId="1" priority="2">
      <formula>OR($E3="Good",$E3="Not Relevant")</formula>
    </cfRule>
  </conditionalFormatting>
  <conditionalFormatting sqref="A15:K82">
    <cfRule type="expression" dxfId="2" priority="3">
      <formula>$A15=TRUE</formula>
    </cfRule>
  </conditionalFormatting>
  <hyperlinks>
    <hyperlink display="🚨 General Website" location="'🚨 General Website'!A1" ref="B3"/>
    <hyperlink display="🏠 Home Page" location="'🏠 Home Page'!A1" ref="B4"/>
    <hyperlink display="📰 Landing Page" location="'📰 Landing Page'!A1" ref="B5"/>
    <hyperlink display="🏪 Category Page" location="'🏪 Category Page'!A1" ref="B6"/>
    <hyperlink display="🧵 Product Page" location="'🧵 Product Page'!A1" ref="B7"/>
    <hyperlink display="🛒 Add to Cart Page" location="'🛒 Add to Cart Page'!A1" ref="B8"/>
    <hyperlink display="💳 Checkout Page" location="'💳 Checkout Page'!A1" ref="B9"/>
    <hyperlink display="🙏 Thank You Page" location="'🙏 Thank You Page'!A1" ref="B10"/>
    <hyperlink r:id="rId1" location="heading=h.dxvzkh4qfqtg" ref="L15"/>
    <hyperlink r:id="rId2" ref="L16"/>
    <hyperlink r:id="rId3" location="heading=h.dxvzkh4qfqtg" ref="L17"/>
    <hyperlink r:id="rId4" location="heading=h.dxvzkh4qfqtg" ref="L18"/>
    <hyperlink r:id="rId5" location="heading=h.dxvzkh4qfqtg" ref="L19"/>
    <hyperlink r:id="rId6" location="heading=h.dxvzkh4qfqtg" ref="L20"/>
    <hyperlink r:id="rId7" location="heading=h.dxvzkh4qfqtg" ref="L21"/>
    <hyperlink r:id="rId8" location="heading=h.dxvzkh4qfqtg" ref="L22"/>
    <hyperlink r:id="rId9" location="heading=h.dxvzkh4qfqtg" ref="L23"/>
    <hyperlink r:id="rId10" ref="L24"/>
    <hyperlink r:id="rId11" location="heading=h.dxvzkh4qfqtg" ref="L25"/>
    <hyperlink r:id="rId12" location="heading=h.dxvzkh4qfqtg" ref="L26"/>
    <hyperlink r:id="rId13" location="heading=h.dxvzkh4qfqtg" ref="L27"/>
    <hyperlink r:id="rId14" location="heading=h.dxvzkh4qfqtg" ref="L28"/>
    <hyperlink r:id="rId15" location="heading=h.dxvzkh4qfqtg" ref="L29"/>
    <hyperlink r:id="rId16" location="heading=h.dxvzkh4qfqtg" ref="L30"/>
    <hyperlink r:id="rId17" location="heading=h.dxvzkh4qfqtg" ref="L31"/>
    <hyperlink r:id="rId18" location="heading=h.dxvzkh4qfqtg" ref="L32"/>
    <hyperlink r:id="rId19" location="heading=h.dxvzkh4qfqtg" ref="L33"/>
    <hyperlink r:id="rId20" location="heading=h.dxvzkh4qfqtg" ref="L34"/>
    <hyperlink r:id="rId21" location="heading=h.dxvzkh4qfqtg" ref="L35"/>
    <hyperlink r:id="rId22" location="heading=h.dxvzkh4qfqtg" ref="L36"/>
    <hyperlink r:id="rId23" location="heading=h.dxvzkh4qfqtg" ref="L37"/>
    <hyperlink r:id="rId24" location="heading=h.dxvzkh4qfqtg" ref="L38"/>
    <hyperlink r:id="rId25" location="heading=h.dxvzkh4qfqtg" ref="L39"/>
    <hyperlink r:id="rId26" location="heading=h.dxvzkh4qfqtg" ref="L40"/>
    <hyperlink r:id="rId27" location="heading=h.dxvzkh4qfqtg" ref="L41"/>
    <hyperlink r:id="rId28" location="heading=h.dxvzkh4qfqtg" ref="L42"/>
    <hyperlink r:id="rId29" location="heading=h.dxvzkh4qfqtg" ref="L43"/>
    <hyperlink r:id="rId30" location="heading=h.dxvzkh4qfqtg" ref="L44"/>
    <hyperlink r:id="rId31" location="heading=h.dxvzkh4qfqtg" ref="L45"/>
    <hyperlink r:id="rId32" location="heading=h.dxvzkh4qfqtg" ref="L46"/>
    <hyperlink r:id="rId33" location="heading=h.dxvzkh4qfqtg" ref="L47"/>
    <hyperlink r:id="rId34" location="heading=h.dxvzkh4qfqtg" ref="L48"/>
    <hyperlink r:id="rId35" location="heading=h.dxvzkh4qfqtg" ref="L49"/>
    <hyperlink r:id="rId36" ref="L52"/>
    <hyperlink r:id="rId37" ref="L53"/>
    <hyperlink r:id="rId38" ref="L54"/>
    <hyperlink r:id="rId39" ref="L55"/>
    <hyperlink r:id="rId40" ref="L56"/>
    <hyperlink r:id="rId41" ref="L57"/>
    <hyperlink r:id="rId42" ref="L58"/>
    <hyperlink r:id="rId43" ref="L59"/>
    <hyperlink r:id="rId44" ref="L60"/>
    <hyperlink r:id="rId45" ref="L61"/>
    <hyperlink r:id="rId46" ref="L62"/>
    <hyperlink r:id="rId47" ref="L63"/>
    <hyperlink r:id="rId48" ref="L64"/>
    <hyperlink r:id="rId49" ref="L65"/>
    <hyperlink r:id="rId50" ref="L66"/>
    <hyperlink r:id="rId51" ref="L67"/>
    <hyperlink r:id="rId52" ref="L68"/>
    <hyperlink r:id="rId53" ref="L69"/>
    <hyperlink r:id="rId54" ref="L70"/>
    <hyperlink r:id="rId55" ref="L71"/>
    <hyperlink r:id="rId56" ref="L72"/>
    <hyperlink r:id="rId57" ref="L73"/>
    <hyperlink r:id="rId58" ref="L74"/>
    <hyperlink r:id="rId59" ref="L75"/>
    <hyperlink r:id="rId60" ref="L76"/>
    <hyperlink r:id="rId61" ref="L77"/>
    <hyperlink r:id="rId62" ref="L78"/>
    <hyperlink r:id="rId63" ref="L79"/>
    <hyperlink r:id="rId64" ref="L80"/>
    <hyperlink r:id="rId65" ref="L81"/>
    <hyperlink r:id="rId66" ref="L82"/>
  </hyperlinks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82.63"/>
    <col customWidth="1" min="3" max="4" width="10.13"/>
    <col customWidth="1" min="5" max="5" width="15.13"/>
    <col customWidth="1" min="6" max="7" width="10.13"/>
    <col customWidth="1" min="8" max="8" width="16.38"/>
  </cols>
  <sheetData>
    <row r="1" ht="52.5" customHeight="1">
      <c r="A1" s="1"/>
      <c r="B1" s="3" t="s">
        <v>120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121</v>
      </c>
      <c r="B2" s="57" t="s">
        <v>122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 t="s">
        <v>20</v>
      </c>
      <c r="B3" s="61" t="s">
        <v>128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65" t="b">
        <v>0</v>
      </c>
      <c r="B4" s="66" t="s">
        <v>129</v>
      </c>
      <c r="C4" s="67" t="s">
        <v>130</v>
      </c>
      <c r="D4" s="67" t="s">
        <v>130</v>
      </c>
      <c r="E4" s="68" t="s">
        <v>4</v>
      </c>
      <c r="F4" s="69">
        <f t="shared" ref="F4:F8" si="1">IF(E4="Not Relevant","",IF(E4="Good","",IF(E4="Bad",2,1)))+G4</f>
        <v>3</v>
      </c>
      <c r="G4" s="69">
        <v>2.0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71" t="b">
        <v>0</v>
      </c>
      <c r="B5" s="72" t="s">
        <v>131</v>
      </c>
      <c r="C5" s="67" t="s">
        <v>130</v>
      </c>
      <c r="D5" s="67" t="s">
        <v>130</v>
      </c>
      <c r="E5" s="73" t="s">
        <v>5</v>
      </c>
      <c r="F5" s="74">
        <f t="shared" si="1"/>
        <v>2</v>
      </c>
      <c r="G5" s="74">
        <v>1.0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71" t="b">
        <v>0</v>
      </c>
      <c r="B6" s="72" t="s">
        <v>132</v>
      </c>
      <c r="C6" s="67" t="s">
        <v>130</v>
      </c>
      <c r="D6" s="67" t="s">
        <v>130</v>
      </c>
      <c r="E6" s="73" t="s">
        <v>5</v>
      </c>
      <c r="F6" s="74">
        <f t="shared" si="1"/>
        <v>2</v>
      </c>
      <c r="G6" s="74">
        <v>1.0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75" customHeight="1">
      <c r="A7" s="71" t="b">
        <v>0</v>
      </c>
      <c r="B7" s="72" t="s">
        <v>133</v>
      </c>
      <c r="C7" s="67" t="s">
        <v>130</v>
      </c>
      <c r="D7" s="67" t="s">
        <v>130</v>
      </c>
      <c r="E7" s="73" t="s">
        <v>5</v>
      </c>
      <c r="F7" s="74">
        <f t="shared" si="1"/>
        <v>3</v>
      </c>
      <c r="G7" s="74">
        <v>2.0</v>
      </c>
      <c r="H7" s="70" t="str">
        <f>IFERROR(__xludf.DUMMYFUNCTION("SPARKLINE(F7,{""charttype"",""bar"";""max"",5;""min"",1;""color1"",""#180c56""})"),"")</f>
        <v/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75" customHeight="1">
      <c r="A8" s="71" t="b">
        <v>0</v>
      </c>
      <c r="B8" s="72" t="s">
        <v>134</v>
      </c>
      <c r="C8" s="67" t="s">
        <v>130</v>
      </c>
      <c r="D8" s="67" t="s">
        <v>130</v>
      </c>
      <c r="E8" s="73" t="s">
        <v>5</v>
      </c>
      <c r="F8" s="74">
        <f t="shared" si="1"/>
        <v>5</v>
      </c>
      <c r="G8" s="74">
        <v>4.0</v>
      </c>
      <c r="H8" s="70" t="str">
        <f>IFERROR(__xludf.DUMMYFUNCTION("SPARKLINE(F8,{""charttype"",""bar"";""max"",5;""min"",1;""color1"",""#180c56""})"),"")</f>
        <v/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22.5" customHeight="1">
      <c r="A9" s="60" t="s">
        <v>135</v>
      </c>
      <c r="B9" s="61" t="s">
        <v>136</v>
      </c>
      <c r="C9" s="62"/>
      <c r="D9" s="62"/>
      <c r="E9" s="62"/>
      <c r="F9" s="62"/>
      <c r="G9" s="62"/>
      <c r="H9" s="63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ht="18.75" customHeight="1">
      <c r="A10" s="71" t="b">
        <v>1</v>
      </c>
      <c r="B10" s="72" t="s">
        <v>137</v>
      </c>
      <c r="C10" s="67" t="s">
        <v>130</v>
      </c>
      <c r="D10" s="67" t="s">
        <v>130</v>
      </c>
      <c r="E10" s="73" t="s">
        <v>5</v>
      </c>
      <c r="F10" s="74">
        <f t="shared" ref="F10:F16" si="2">IF(E10="Not Relevant","",IF(E10="Good","",IF(E10="Bad",2,1)))+G10</f>
        <v>3</v>
      </c>
      <c r="G10" s="74">
        <v>2.0</v>
      </c>
      <c r="H10" s="75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71" t="b">
        <v>0</v>
      </c>
      <c r="B11" s="72" t="s">
        <v>138</v>
      </c>
      <c r="C11" s="67" t="s">
        <v>130</v>
      </c>
      <c r="D11" s="67" t="s">
        <v>130</v>
      </c>
      <c r="E11" s="73" t="s">
        <v>5</v>
      </c>
      <c r="F11" s="74">
        <f t="shared" si="2"/>
        <v>3</v>
      </c>
      <c r="G11" s="74">
        <v>2.0</v>
      </c>
      <c r="H11" s="75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71" t="b">
        <v>1</v>
      </c>
      <c r="B12" s="72" t="s">
        <v>139</v>
      </c>
      <c r="C12" s="67" t="s">
        <v>130</v>
      </c>
      <c r="D12" s="67" t="s">
        <v>130</v>
      </c>
      <c r="E12" s="73" t="s">
        <v>5</v>
      </c>
      <c r="F12" s="74">
        <f t="shared" si="2"/>
        <v>2</v>
      </c>
      <c r="G12" s="74">
        <v>1.0</v>
      </c>
      <c r="H12" s="75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75" customHeight="1">
      <c r="A13" s="71" t="b">
        <v>0</v>
      </c>
      <c r="B13" s="72" t="s">
        <v>140</v>
      </c>
      <c r="C13" s="67" t="s">
        <v>130</v>
      </c>
      <c r="D13" s="67" t="s">
        <v>130</v>
      </c>
      <c r="E13" s="73" t="s">
        <v>5</v>
      </c>
      <c r="F13" s="74">
        <f t="shared" si="2"/>
        <v>4</v>
      </c>
      <c r="G13" s="74">
        <v>3.0</v>
      </c>
      <c r="H13" s="75" t="str">
        <f>IFERROR(__xludf.DUMMYFUNCTION("SPARKLINE(F13,{""charttype"",""bar"";""max"",5;""min"",1;""color1"",""#180c56""})"),"")</f>
        <v/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75" customHeight="1">
      <c r="A14" s="71" t="b">
        <v>1</v>
      </c>
      <c r="B14" s="72" t="s">
        <v>141</v>
      </c>
      <c r="C14" s="67" t="s">
        <v>130</v>
      </c>
      <c r="D14" s="67" t="s">
        <v>130</v>
      </c>
      <c r="E14" s="73" t="s">
        <v>5</v>
      </c>
      <c r="F14" s="74">
        <f t="shared" si="2"/>
        <v>4</v>
      </c>
      <c r="G14" s="74">
        <v>3.0</v>
      </c>
      <c r="H14" s="75" t="str">
        <f>IFERROR(__xludf.DUMMYFUNCTION("SPARKLINE(F14,{""charttype"",""bar"";""max"",5;""min"",1;""color1"",""#180c56""})"),"")</f>
        <v/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71" t="b">
        <v>1</v>
      </c>
      <c r="B15" s="72" t="s">
        <v>142</v>
      </c>
      <c r="C15" s="67" t="s">
        <v>130</v>
      </c>
      <c r="D15" s="67" t="s">
        <v>130</v>
      </c>
      <c r="E15" s="73" t="s">
        <v>5</v>
      </c>
      <c r="F15" s="74">
        <f t="shared" si="2"/>
        <v>4</v>
      </c>
      <c r="G15" s="74">
        <v>3.0</v>
      </c>
      <c r="H15" s="75" t="str">
        <f>IFERROR(__xludf.DUMMYFUNCTION("SPARKLINE(F15,{""charttype"",""bar"";""max"",5;""min"",1;""color1"",""#180c56""})"),"")</f>
        <v/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75" customHeight="1">
      <c r="A16" s="71" t="b">
        <v>1</v>
      </c>
      <c r="B16" s="72" t="s">
        <v>143</v>
      </c>
      <c r="C16" s="67" t="s">
        <v>130</v>
      </c>
      <c r="D16" s="67" t="s">
        <v>130</v>
      </c>
      <c r="E16" s="73" t="s">
        <v>5</v>
      </c>
      <c r="F16" s="74">
        <f t="shared" si="2"/>
        <v>4</v>
      </c>
      <c r="G16" s="74">
        <v>3.0</v>
      </c>
      <c r="H16" s="75" t="str">
        <f>IFERROR(__xludf.DUMMYFUNCTION("SPARKLINE(F16,{""charttype"",""bar"";""max"",5;""min"",1;""color1"",""#180c56""})"),"")</f>
        <v/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22.5" customHeight="1">
      <c r="A17" s="60" t="s">
        <v>144</v>
      </c>
      <c r="B17" s="61" t="s">
        <v>145</v>
      </c>
      <c r="C17" s="62"/>
      <c r="D17" s="62"/>
      <c r="E17" s="62"/>
      <c r="F17" s="62"/>
      <c r="G17" s="62"/>
      <c r="H17" s="63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ht="18.75" customHeight="1">
      <c r="A18" s="71" t="b">
        <v>0</v>
      </c>
      <c r="B18" s="72" t="s">
        <v>146</v>
      </c>
      <c r="C18" s="67" t="s">
        <v>130</v>
      </c>
      <c r="D18" s="67" t="s">
        <v>130</v>
      </c>
      <c r="E18" s="73" t="s">
        <v>5</v>
      </c>
      <c r="F18" s="74">
        <f t="shared" ref="F18:F24" si="3">IF(E18="Not Relevant","",IF(E18="Good","",IF(E18="Bad",2,1)))+G18</f>
        <v>3</v>
      </c>
      <c r="G18" s="74">
        <v>2.0</v>
      </c>
      <c r="H18" s="75" t="str">
        <f>IFERROR(__xludf.DUMMYFUNCTION("SPARKLINE(F18,{""charttype"",""bar"";""max"",5;""min"",1;""color1"",""#180c56""})"),"")</f>
        <v/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75" customHeight="1">
      <c r="A19" s="71" t="b">
        <v>0</v>
      </c>
      <c r="B19" s="72" t="s">
        <v>147</v>
      </c>
      <c r="C19" s="67" t="s">
        <v>130</v>
      </c>
      <c r="D19" s="67" t="s">
        <v>130</v>
      </c>
      <c r="E19" s="73" t="s">
        <v>5</v>
      </c>
      <c r="F19" s="74">
        <f t="shared" si="3"/>
        <v>3</v>
      </c>
      <c r="G19" s="74">
        <v>2.0</v>
      </c>
      <c r="H19" s="75" t="str">
        <f>IFERROR(__xludf.DUMMYFUNCTION("SPARKLINE(F19,{""charttype"",""bar"";""max"",5;""min"",1;""color1"",""#180c56""})"),"")</f>
        <v/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71" t="b">
        <v>0</v>
      </c>
      <c r="B20" s="72" t="s">
        <v>148</v>
      </c>
      <c r="C20" s="67" t="s">
        <v>130</v>
      </c>
      <c r="D20" s="67" t="s">
        <v>130</v>
      </c>
      <c r="E20" s="73" t="s">
        <v>5</v>
      </c>
      <c r="F20" s="74">
        <f t="shared" si="3"/>
        <v>3</v>
      </c>
      <c r="G20" s="74">
        <v>2.0</v>
      </c>
      <c r="H20" s="75" t="str">
        <f>IFERROR(__xludf.DUMMYFUNCTION("SPARKLINE(F20,{""charttype"",""bar"";""max"",5;""min"",1;""color1"",""#180c56""})"),"")</f>
        <v/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71" t="b">
        <v>0</v>
      </c>
      <c r="B21" s="72" t="s">
        <v>149</v>
      </c>
      <c r="C21" s="67" t="s">
        <v>130</v>
      </c>
      <c r="D21" s="67" t="s">
        <v>130</v>
      </c>
      <c r="E21" s="73" t="s">
        <v>5</v>
      </c>
      <c r="F21" s="74">
        <f t="shared" si="3"/>
        <v>3</v>
      </c>
      <c r="G21" s="74">
        <v>2.0</v>
      </c>
      <c r="H21" s="75" t="str">
        <f>IFERROR(__xludf.DUMMYFUNCTION("SPARKLINE(F21,{""charttype"",""bar"";""max"",5;""min"",1;""color1"",""#180c56""})"),"")</f>
        <v/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71" t="b">
        <v>0</v>
      </c>
      <c r="B22" s="72" t="s">
        <v>150</v>
      </c>
      <c r="C22" s="67" t="s">
        <v>130</v>
      </c>
      <c r="D22" s="67" t="s">
        <v>130</v>
      </c>
      <c r="E22" s="73" t="s">
        <v>5</v>
      </c>
      <c r="F22" s="74">
        <f t="shared" si="3"/>
        <v>3</v>
      </c>
      <c r="G22" s="74">
        <v>2.0</v>
      </c>
      <c r="H22" s="75" t="str">
        <f>IFERROR(__xludf.DUMMYFUNCTION("SPARKLINE(F22,{""charttype"",""bar"";""max"",5;""min"",1;""color1"",""#180c56""})"),"")</f>
        <v/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71" t="b">
        <v>0</v>
      </c>
      <c r="B23" s="72" t="s">
        <v>151</v>
      </c>
      <c r="C23" s="67" t="s">
        <v>130</v>
      </c>
      <c r="D23" s="67" t="s">
        <v>130</v>
      </c>
      <c r="E23" s="73" t="s">
        <v>5</v>
      </c>
      <c r="F23" s="74">
        <f t="shared" si="3"/>
        <v>3</v>
      </c>
      <c r="G23" s="74">
        <v>2.0</v>
      </c>
      <c r="H23" s="75" t="str">
        <f>IFERROR(__xludf.DUMMYFUNCTION("SPARKLINE(F23,{""charttype"",""bar"";""max"",5;""min"",1;""color1"",""#180c56""})"),"")</f>
        <v/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71" t="b">
        <v>0</v>
      </c>
      <c r="B24" s="72" t="s">
        <v>152</v>
      </c>
      <c r="C24" s="67" t="s">
        <v>130</v>
      </c>
      <c r="D24" s="67" t="s">
        <v>130</v>
      </c>
      <c r="E24" s="73" t="s">
        <v>5</v>
      </c>
      <c r="F24" s="74">
        <f t="shared" si="3"/>
        <v>3</v>
      </c>
      <c r="G24" s="74">
        <v>2.0</v>
      </c>
      <c r="H24" s="75" t="str">
        <f>IFERROR(__xludf.DUMMYFUNCTION("SPARKLINE(F24,{""charttype"",""bar"";""max"",5;""min"",1;""color1"",""#180c56""})"),"")</f>
        <v/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22.5" customHeight="1">
      <c r="A25" s="60" t="s">
        <v>153</v>
      </c>
      <c r="B25" s="61" t="s">
        <v>154</v>
      </c>
      <c r="C25" s="62"/>
      <c r="D25" s="62"/>
      <c r="E25" s="62"/>
      <c r="F25" s="62"/>
      <c r="G25" s="62"/>
      <c r="H25" s="63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ht="18.75" customHeight="1">
      <c r="A26" s="71" t="b">
        <v>0</v>
      </c>
      <c r="B26" s="72" t="s">
        <v>155</v>
      </c>
      <c r="C26" s="76" t="s">
        <v>130</v>
      </c>
      <c r="D26" s="76" t="s">
        <v>130</v>
      </c>
      <c r="E26" s="73" t="s">
        <v>5</v>
      </c>
      <c r="F26" s="74">
        <f t="shared" ref="F26:F38" si="4">IF(E26="Not Relevant","",IF(E26="Good","",IF(E26="Bad",2,1)))+G26</f>
        <v>2</v>
      </c>
      <c r="G26" s="74">
        <v>1.0</v>
      </c>
      <c r="H26" s="75" t="str">
        <f>IFERROR(__xludf.DUMMYFUNCTION("SPARKLINE(F26,{""charttype"",""bar"";""max"",5;""min"",1;""color1"",""#180c56""})"),"")</f>
        <v/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75" customHeight="1">
      <c r="A27" s="71" t="b">
        <v>0</v>
      </c>
      <c r="B27" s="72" t="s">
        <v>156</v>
      </c>
      <c r="C27" s="76" t="s">
        <v>130</v>
      </c>
      <c r="D27" s="76" t="s">
        <v>130</v>
      </c>
      <c r="E27" s="73" t="s">
        <v>5</v>
      </c>
      <c r="F27" s="74">
        <f t="shared" si="4"/>
        <v>2</v>
      </c>
      <c r="G27" s="74">
        <v>1.0</v>
      </c>
      <c r="H27" s="75" t="str">
        <f>IFERROR(__xludf.DUMMYFUNCTION("SPARKLINE(F27,{""charttype"",""bar"";""max"",5;""min"",1;""color1"",""#180c56""})"),"")</f>
        <v/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75" customHeight="1">
      <c r="A28" s="71" t="b">
        <v>0</v>
      </c>
      <c r="B28" s="72" t="s">
        <v>157</v>
      </c>
      <c r="C28" s="76" t="s">
        <v>130</v>
      </c>
      <c r="D28" s="76" t="s">
        <v>130</v>
      </c>
      <c r="E28" s="73" t="s">
        <v>5</v>
      </c>
      <c r="F28" s="74">
        <f t="shared" si="4"/>
        <v>3</v>
      </c>
      <c r="G28" s="74">
        <v>2.0</v>
      </c>
      <c r="H28" s="75" t="str">
        <f>IFERROR(__xludf.DUMMYFUNCTION("SPARKLINE(F28,{""charttype"",""bar"";""max"",5;""min"",1;""color1"",""#180c56""})"),"")</f>
        <v/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71" t="b">
        <v>0</v>
      </c>
      <c r="B29" s="72" t="s">
        <v>158</v>
      </c>
      <c r="C29" s="76" t="s">
        <v>130</v>
      </c>
      <c r="D29" s="76" t="s">
        <v>130</v>
      </c>
      <c r="E29" s="73" t="s">
        <v>5</v>
      </c>
      <c r="F29" s="74">
        <f t="shared" si="4"/>
        <v>3</v>
      </c>
      <c r="G29" s="74">
        <v>2.0</v>
      </c>
      <c r="H29" s="75" t="str">
        <f>IFERROR(__xludf.DUMMYFUNCTION("SPARKLINE(F29,{""charttype"",""bar"";""max"",5;""min"",1;""color1"",""#180c56""})"),"")</f>
        <v/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75" customHeight="1">
      <c r="A30" s="71" t="b">
        <v>0</v>
      </c>
      <c r="B30" s="72" t="s">
        <v>159</v>
      </c>
      <c r="C30" s="76" t="s">
        <v>130</v>
      </c>
      <c r="D30" s="76" t="s">
        <v>130</v>
      </c>
      <c r="E30" s="73" t="s">
        <v>5</v>
      </c>
      <c r="F30" s="74">
        <f t="shared" si="4"/>
        <v>4</v>
      </c>
      <c r="G30" s="74">
        <v>3.0</v>
      </c>
      <c r="H30" s="75" t="str">
        <f>IFERROR(__xludf.DUMMYFUNCTION("SPARKLINE(F30,{""charttype"",""bar"";""max"",5;""min"",1;""color1"",""#180c56""})"),"")</f>
        <v/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75" customHeight="1">
      <c r="A31" s="71" t="b">
        <v>0</v>
      </c>
      <c r="B31" s="72" t="s">
        <v>160</v>
      </c>
      <c r="C31" s="76" t="s">
        <v>130</v>
      </c>
      <c r="D31" s="76" t="s">
        <v>130</v>
      </c>
      <c r="E31" s="73" t="s">
        <v>5</v>
      </c>
      <c r="F31" s="74">
        <f t="shared" si="4"/>
        <v>3</v>
      </c>
      <c r="G31" s="74">
        <v>2.0</v>
      </c>
      <c r="H31" s="75" t="str">
        <f>IFERROR(__xludf.DUMMYFUNCTION("SPARKLINE(F31,{""charttype"",""bar"";""max"",5;""min"",1;""color1"",""#180c56""})"),"")</f>
        <v/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75" customHeight="1">
      <c r="A32" s="71" t="b">
        <v>0</v>
      </c>
      <c r="B32" s="72" t="s">
        <v>161</v>
      </c>
      <c r="C32" s="76" t="s">
        <v>130</v>
      </c>
      <c r="D32" s="76" t="s">
        <v>130</v>
      </c>
      <c r="E32" s="73" t="s">
        <v>5</v>
      </c>
      <c r="F32" s="74">
        <f t="shared" si="4"/>
        <v>3</v>
      </c>
      <c r="G32" s="74">
        <v>2.0</v>
      </c>
      <c r="H32" s="75" t="str">
        <f>IFERROR(__xludf.DUMMYFUNCTION("SPARKLINE(F32,{""charttype"",""bar"";""max"",5;""min"",1;""color1"",""#180c56""})"),"")</f>
        <v/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75" customHeight="1">
      <c r="A33" s="71" t="b">
        <v>0</v>
      </c>
      <c r="B33" s="72" t="s">
        <v>162</v>
      </c>
      <c r="C33" s="76" t="s">
        <v>130</v>
      </c>
      <c r="D33" s="76" t="s">
        <v>130</v>
      </c>
      <c r="E33" s="73" t="s">
        <v>5</v>
      </c>
      <c r="F33" s="74">
        <f t="shared" si="4"/>
        <v>4</v>
      </c>
      <c r="G33" s="74">
        <v>3.0</v>
      </c>
      <c r="H33" s="75" t="str">
        <f>IFERROR(__xludf.DUMMYFUNCTION("SPARKLINE(F33,{""charttype"",""bar"";""max"",5;""min"",1;""color1"",""#180c56""})"),"")</f>
        <v/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75" customHeight="1">
      <c r="A34" s="71" t="b">
        <v>0</v>
      </c>
      <c r="B34" s="72" t="s">
        <v>163</v>
      </c>
      <c r="C34" s="76" t="s">
        <v>130</v>
      </c>
      <c r="D34" s="76" t="s">
        <v>130</v>
      </c>
      <c r="E34" s="73" t="s">
        <v>5</v>
      </c>
      <c r="F34" s="74">
        <f t="shared" si="4"/>
        <v>3</v>
      </c>
      <c r="G34" s="74">
        <v>2.0</v>
      </c>
      <c r="H34" s="75" t="str">
        <f>IFERROR(__xludf.DUMMYFUNCTION("SPARKLINE(F34,{""charttype"",""bar"";""max"",5;""min"",1;""color1"",""#180c56""})"),"")</f>
        <v/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75" customHeight="1">
      <c r="A35" s="71" t="b">
        <v>0</v>
      </c>
      <c r="B35" s="72" t="s">
        <v>164</v>
      </c>
      <c r="C35" s="76" t="s">
        <v>130</v>
      </c>
      <c r="D35" s="76" t="s">
        <v>130</v>
      </c>
      <c r="E35" s="73" t="s">
        <v>5</v>
      </c>
      <c r="F35" s="74">
        <f t="shared" si="4"/>
        <v>2</v>
      </c>
      <c r="G35" s="74">
        <v>1.0</v>
      </c>
      <c r="H35" s="75" t="str">
        <f>IFERROR(__xludf.DUMMYFUNCTION("SPARKLINE(F35,{""charttype"",""bar"";""max"",5;""min"",1;""color1"",""#180c56""})"),"")</f>
        <v/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71" t="b">
        <v>0</v>
      </c>
      <c r="B36" s="72" t="s">
        <v>165</v>
      </c>
      <c r="C36" s="76" t="s">
        <v>130</v>
      </c>
      <c r="D36" s="76" t="s">
        <v>130</v>
      </c>
      <c r="E36" s="73" t="s">
        <v>5</v>
      </c>
      <c r="F36" s="74">
        <f t="shared" si="4"/>
        <v>2</v>
      </c>
      <c r="G36" s="74">
        <v>1.0</v>
      </c>
      <c r="H36" s="75" t="str">
        <f>IFERROR(__xludf.DUMMYFUNCTION("SPARKLINE(F36,{""charttype"",""bar"";""max"",5;""min"",1;""color1"",""#180c56""})"),"")</f>
        <v/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71" t="b">
        <v>0</v>
      </c>
      <c r="B37" s="72" t="s">
        <v>166</v>
      </c>
      <c r="C37" s="76" t="s">
        <v>130</v>
      </c>
      <c r="D37" s="76" t="s">
        <v>130</v>
      </c>
      <c r="E37" s="73" t="s">
        <v>5</v>
      </c>
      <c r="F37" s="74">
        <f t="shared" si="4"/>
        <v>3</v>
      </c>
      <c r="G37" s="74">
        <v>2.0</v>
      </c>
      <c r="H37" s="75" t="str">
        <f>IFERROR(__xludf.DUMMYFUNCTION("SPARKLINE(F37,{""charttype"",""bar"";""max"",5;""min"",1;""color1"",""#180c56""})"),"")</f>
        <v/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71" t="b">
        <v>0</v>
      </c>
      <c r="B38" s="72" t="s">
        <v>167</v>
      </c>
      <c r="C38" s="76" t="s">
        <v>130</v>
      </c>
      <c r="D38" s="76" t="s">
        <v>130</v>
      </c>
      <c r="E38" s="73" t="s">
        <v>5</v>
      </c>
      <c r="F38" s="74">
        <f t="shared" si="4"/>
        <v>4</v>
      </c>
      <c r="G38" s="74">
        <v>3.0</v>
      </c>
      <c r="H38" s="75" t="str">
        <f>IFERROR(__xludf.DUMMYFUNCTION("SPARKLINE(F38,{""charttype"",""bar"";""max"",5;""min"",1;""color1"",""#180c56""})"),"")</f>
        <v/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22.5" customHeight="1">
      <c r="A39" s="60" t="s">
        <v>121</v>
      </c>
      <c r="B39" s="61" t="s">
        <v>168</v>
      </c>
      <c r="C39" s="62"/>
      <c r="D39" s="62"/>
      <c r="E39" s="62"/>
      <c r="F39" s="62"/>
      <c r="G39" s="62"/>
      <c r="H39" s="63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ht="18.75" customHeight="1">
      <c r="A40" s="71" t="b">
        <v>0</v>
      </c>
      <c r="B40" s="72" t="s">
        <v>169</v>
      </c>
      <c r="C40" s="76" t="s">
        <v>130</v>
      </c>
      <c r="D40" s="76" t="s">
        <v>130</v>
      </c>
      <c r="E40" s="73" t="s">
        <v>5</v>
      </c>
      <c r="F40" s="74">
        <f t="shared" ref="F40:F53" si="5">IF(E40="Not Relevant","",IF(E40="Good","",IF(E40="Bad",2,1)))+G40</f>
        <v>4</v>
      </c>
      <c r="G40" s="74">
        <v>3.0</v>
      </c>
      <c r="H40" s="75" t="str">
        <f>IFERROR(__xludf.DUMMYFUNCTION("SPARKLINE(F40,{""charttype"",""bar"";""max"",5;""min"",1;""color1"",""#180c56""})"),"")</f>
        <v/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71" t="b">
        <v>0</v>
      </c>
      <c r="B41" s="72" t="s">
        <v>170</v>
      </c>
      <c r="C41" s="76" t="s">
        <v>130</v>
      </c>
      <c r="D41" s="76" t="s">
        <v>130</v>
      </c>
      <c r="E41" s="73" t="s">
        <v>5</v>
      </c>
      <c r="F41" s="74">
        <f t="shared" si="5"/>
        <v>4</v>
      </c>
      <c r="G41" s="74">
        <v>3.0</v>
      </c>
      <c r="H41" s="75" t="str">
        <f>IFERROR(__xludf.DUMMYFUNCTION("SPARKLINE(F41,{""charttype"",""bar"";""max"",5;""min"",1;""color1"",""#180c56""})"),"")</f>
        <v/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71" t="b">
        <v>0</v>
      </c>
      <c r="B42" s="72" t="s">
        <v>171</v>
      </c>
      <c r="C42" s="76" t="s">
        <v>130</v>
      </c>
      <c r="D42" s="76" t="s">
        <v>130</v>
      </c>
      <c r="E42" s="73" t="s">
        <v>5</v>
      </c>
      <c r="F42" s="74">
        <f t="shared" si="5"/>
        <v>4</v>
      </c>
      <c r="G42" s="74">
        <v>3.0</v>
      </c>
      <c r="H42" s="75" t="str">
        <f>IFERROR(__xludf.DUMMYFUNCTION("SPARKLINE(F42,{""charttype"",""bar"";""max"",5;""min"",1;""color1"",""#180c56""})"),"")</f>
        <v/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71" t="b">
        <v>0</v>
      </c>
      <c r="B43" s="72" t="s">
        <v>172</v>
      </c>
      <c r="C43" s="76" t="s">
        <v>130</v>
      </c>
      <c r="D43" s="76" t="s">
        <v>130</v>
      </c>
      <c r="E43" s="73" t="s">
        <v>5</v>
      </c>
      <c r="F43" s="74">
        <f t="shared" si="5"/>
        <v>4</v>
      </c>
      <c r="G43" s="74">
        <v>3.0</v>
      </c>
      <c r="H43" s="75" t="str">
        <f>IFERROR(__xludf.DUMMYFUNCTION("SPARKLINE(F43,{""charttype"",""bar"";""max"",5;""min"",1;""color1"",""#180c56""})"),"")</f>
        <v/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71" t="b">
        <v>0</v>
      </c>
      <c r="B44" s="72" t="s">
        <v>173</v>
      </c>
      <c r="C44" s="76" t="s">
        <v>130</v>
      </c>
      <c r="D44" s="76" t="s">
        <v>130</v>
      </c>
      <c r="E44" s="73" t="s">
        <v>5</v>
      </c>
      <c r="F44" s="74">
        <f t="shared" si="5"/>
        <v>4</v>
      </c>
      <c r="G44" s="74">
        <v>3.0</v>
      </c>
      <c r="H44" s="75" t="str">
        <f>IFERROR(__xludf.DUMMYFUNCTION("SPARKLINE(F44,{""charttype"",""bar"";""max"",5;""min"",1;""color1"",""#180c56""})"),"")</f>
        <v/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71" t="b">
        <v>0</v>
      </c>
      <c r="B45" s="72" t="s">
        <v>174</v>
      </c>
      <c r="C45" s="76" t="s">
        <v>130</v>
      </c>
      <c r="D45" s="76" t="s">
        <v>130</v>
      </c>
      <c r="E45" s="73" t="s">
        <v>5</v>
      </c>
      <c r="F45" s="74">
        <f t="shared" si="5"/>
        <v>2</v>
      </c>
      <c r="G45" s="74">
        <v>1.0</v>
      </c>
      <c r="H45" s="75" t="str">
        <f>IFERROR(__xludf.DUMMYFUNCTION("SPARKLINE(F45,{""charttype"",""bar"";""max"",5;""min"",1;""color1"",""#180c56""})"),"")</f>
        <v/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71" t="b">
        <v>0</v>
      </c>
      <c r="B46" s="72" t="s">
        <v>175</v>
      </c>
      <c r="C46" s="76" t="s">
        <v>130</v>
      </c>
      <c r="D46" s="76" t="s">
        <v>130</v>
      </c>
      <c r="E46" s="73" t="s">
        <v>5</v>
      </c>
      <c r="F46" s="74">
        <f t="shared" si="5"/>
        <v>4</v>
      </c>
      <c r="G46" s="74">
        <v>3.0</v>
      </c>
      <c r="H46" s="75" t="str">
        <f>IFERROR(__xludf.DUMMYFUNCTION("SPARKLINE(F46,{""charttype"",""bar"";""max"",5;""min"",1;""color1"",""#180c56""})"),"")</f>
        <v/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71" t="b">
        <v>0</v>
      </c>
      <c r="B47" s="72" t="s">
        <v>176</v>
      </c>
      <c r="C47" s="76" t="s">
        <v>130</v>
      </c>
      <c r="D47" s="76" t="s">
        <v>130</v>
      </c>
      <c r="E47" s="73" t="s">
        <v>5</v>
      </c>
      <c r="F47" s="74">
        <f t="shared" si="5"/>
        <v>3</v>
      </c>
      <c r="G47" s="74">
        <v>2.0</v>
      </c>
      <c r="H47" s="75" t="str">
        <f>IFERROR(__xludf.DUMMYFUNCTION("SPARKLINE(F47,{""charttype"",""bar"";""max"",5;""min"",1;""color1"",""#180c56""})"),"")</f>
        <v/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71" t="b">
        <v>0</v>
      </c>
      <c r="B48" s="72" t="s">
        <v>177</v>
      </c>
      <c r="C48" s="76" t="s">
        <v>130</v>
      </c>
      <c r="D48" s="76" t="s">
        <v>130</v>
      </c>
      <c r="E48" s="73" t="s">
        <v>5</v>
      </c>
      <c r="F48" s="74">
        <f t="shared" si="5"/>
        <v>2</v>
      </c>
      <c r="G48" s="74">
        <v>1.0</v>
      </c>
      <c r="H48" s="75" t="str">
        <f>IFERROR(__xludf.DUMMYFUNCTION("SPARKLINE(F48,{""charttype"",""bar"";""max"",5;""min"",1;""color1"",""#180c56""})"),"")</f>
        <v/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75" customHeight="1">
      <c r="A49" s="71" t="b">
        <v>0</v>
      </c>
      <c r="B49" s="72" t="s">
        <v>178</v>
      </c>
      <c r="C49" s="76" t="s">
        <v>130</v>
      </c>
      <c r="D49" s="76" t="s">
        <v>130</v>
      </c>
      <c r="E49" s="73" t="s">
        <v>5</v>
      </c>
      <c r="F49" s="74">
        <f t="shared" si="5"/>
        <v>3</v>
      </c>
      <c r="G49" s="74">
        <v>2.0</v>
      </c>
      <c r="H49" s="75" t="str">
        <f>IFERROR(__xludf.DUMMYFUNCTION("SPARKLINE(F49,{""charttype"",""bar"";""max"",5;""min"",1;""color1"",""#180c56""})"),"")</f>
        <v/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75" customHeight="1">
      <c r="A50" s="71" t="b">
        <v>0</v>
      </c>
      <c r="B50" s="72" t="s">
        <v>179</v>
      </c>
      <c r="C50" s="76" t="s">
        <v>130</v>
      </c>
      <c r="D50" s="76" t="s">
        <v>130</v>
      </c>
      <c r="E50" s="73" t="s">
        <v>5</v>
      </c>
      <c r="F50" s="74">
        <f t="shared" si="5"/>
        <v>5</v>
      </c>
      <c r="G50" s="74">
        <v>4.0</v>
      </c>
      <c r="H50" s="75" t="str">
        <f>IFERROR(__xludf.DUMMYFUNCTION("SPARKLINE(F50,{""charttype"",""bar"";""max"",5;""min"",1;""color1"",""#180c56""})"),"")</f>
        <v/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75" customHeight="1">
      <c r="A51" s="71" t="b">
        <v>0</v>
      </c>
      <c r="B51" s="72" t="s">
        <v>180</v>
      </c>
      <c r="C51" s="76" t="s">
        <v>130</v>
      </c>
      <c r="D51" s="76" t="s">
        <v>130</v>
      </c>
      <c r="E51" s="73" t="s">
        <v>5</v>
      </c>
      <c r="F51" s="74">
        <f t="shared" si="5"/>
        <v>2</v>
      </c>
      <c r="G51" s="74">
        <v>1.0</v>
      </c>
      <c r="H51" s="75" t="str">
        <f>IFERROR(__xludf.DUMMYFUNCTION("SPARKLINE(F51,{""charttype"",""bar"";""max"",5;""min"",1;""color1"",""#180c56""})"),"")</f>
        <v/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71" t="b">
        <v>0</v>
      </c>
      <c r="B52" s="72" t="s">
        <v>181</v>
      </c>
      <c r="C52" s="76" t="s">
        <v>130</v>
      </c>
      <c r="D52" s="76" t="s">
        <v>130</v>
      </c>
      <c r="E52" s="73" t="s">
        <v>5</v>
      </c>
      <c r="F52" s="74">
        <f t="shared" si="5"/>
        <v>3</v>
      </c>
      <c r="G52" s="74">
        <v>2.0</v>
      </c>
      <c r="H52" s="75" t="str">
        <f>IFERROR(__xludf.DUMMYFUNCTION("SPARKLINE(F52,{""charttype"",""bar"";""max"",5;""min"",1;""color1"",""#180c56""})"),"")</f>
        <v/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77" t="b">
        <v>0</v>
      </c>
      <c r="B53" s="78" t="s">
        <v>182</v>
      </c>
      <c r="C53" s="79" t="s">
        <v>130</v>
      </c>
      <c r="D53" s="79" t="s">
        <v>130</v>
      </c>
      <c r="E53" s="80" t="s">
        <v>5</v>
      </c>
      <c r="F53" s="81">
        <f t="shared" si="5"/>
        <v>2</v>
      </c>
      <c r="G53" s="81">
        <v>1.0</v>
      </c>
      <c r="H53" s="82" t="str">
        <f>IFERROR(__xludf.DUMMYFUNCTION("SPARKLINE(F53,{""charttype"",""bar"";""max"",5;""min"",1;""color1"",""#180c56""})"),"")</f>
        <v/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37"/>
      <c r="B54" s="83"/>
      <c r="C54" s="37"/>
      <c r="D54" s="37"/>
      <c r="E54" s="37"/>
      <c r="F54" s="37"/>
      <c r="G54" s="3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37"/>
      <c r="B55" s="83"/>
      <c r="C55" s="37"/>
      <c r="D55" s="37"/>
      <c r="E55" s="37"/>
      <c r="F55" s="37"/>
      <c r="G55" s="3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37"/>
      <c r="B56" s="83"/>
      <c r="C56" s="37"/>
      <c r="D56" s="37"/>
      <c r="E56" s="37"/>
      <c r="F56" s="37"/>
      <c r="G56" s="3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37"/>
      <c r="B57" s="83"/>
      <c r="C57" s="37"/>
      <c r="D57" s="37"/>
      <c r="E57" s="37"/>
      <c r="F57" s="37"/>
      <c r="G57" s="3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75" customHeight="1">
      <c r="A58" s="37"/>
      <c r="B58" s="83"/>
      <c r="C58" s="37"/>
      <c r="D58" s="37"/>
      <c r="E58" s="37"/>
      <c r="F58" s="37"/>
      <c r="G58" s="3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75" customHeight="1">
      <c r="A59" s="37"/>
      <c r="B59" s="83"/>
      <c r="C59" s="37"/>
      <c r="D59" s="37"/>
      <c r="E59" s="37"/>
      <c r="F59" s="37"/>
      <c r="G59" s="3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75" customHeight="1">
      <c r="A60" s="37"/>
      <c r="B60" s="83"/>
      <c r="C60" s="37"/>
      <c r="D60" s="37"/>
      <c r="E60" s="37"/>
      <c r="F60" s="37"/>
      <c r="G60" s="3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37"/>
      <c r="B61" s="83"/>
      <c r="C61" s="37"/>
      <c r="D61" s="37"/>
      <c r="E61" s="37"/>
      <c r="F61" s="37"/>
      <c r="G61" s="3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37"/>
      <c r="B62" s="83"/>
      <c r="C62" s="37"/>
      <c r="D62" s="37"/>
      <c r="E62" s="37"/>
      <c r="F62" s="37"/>
      <c r="G62" s="3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37"/>
      <c r="B63" s="83"/>
      <c r="C63" s="37"/>
      <c r="D63" s="37"/>
      <c r="E63" s="37"/>
      <c r="F63" s="37"/>
      <c r="G63" s="3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37"/>
      <c r="B64" s="83"/>
      <c r="C64" s="37"/>
      <c r="D64" s="37"/>
      <c r="E64" s="37"/>
      <c r="F64" s="37"/>
      <c r="G64" s="3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37"/>
      <c r="B65" s="83"/>
      <c r="C65" s="37"/>
      <c r="D65" s="37"/>
      <c r="E65" s="37"/>
      <c r="F65" s="37"/>
      <c r="G65" s="3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37"/>
      <c r="B66" s="83"/>
      <c r="C66" s="37"/>
      <c r="D66" s="37"/>
      <c r="E66" s="37"/>
      <c r="F66" s="37"/>
      <c r="G66" s="3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37"/>
      <c r="B67" s="83"/>
      <c r="C67" s="37"/>
      <c r="D67" s="37"/>
      <c r="E67" s="37"/>
      <c r="F67" s="37"/>
      <c r="G67" s="3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75" customHeight="1">
      <c r="A68" s="37"/>
      <c r="B68" s="83"/>
      <c r="C68" s="37"/>
      <c r="D68" s="37"/>
      <c r="E68" s="37"/>
      <c r="F68" s="37"/>
      <c r="G68" s="3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75" customHeight="1">
      <c r="A69" s="37"/>
      <c r="B69" s="83"/>
      <c r="C69" s="37"/>
      <c r="D69" s="37"/>
      <c r="E69" s="37"/>
      <c r="F69" s="37"/>
      <c r="G69" s="3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37"/>
      <c r="B70" s="83"/>
      <c r="C70" s="37"/>
      <c r="D70" s="37"/>
      <c r="E70" s="37"/>
      <c r="F70" s="37"/>
      <c r="G70" s="3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37"/>
      <c r="B71" s="83"/>
      <c r="C71" s="37"/>
      <c r="D71" s="37"/>
      <c r="E71" s="37"/>
      <c r="F71" s="37"/>
      <c r="G71" s="3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37"/>
      <c r="B72" s="83"/>
      <c r="C72" s="37"/>
      <c r="D72" s="37"/>
      <c r="E72" s="37"/>
      <c r="F72" s="37"/>
      <c r="G72" s="3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37"/>
      <c r="B73" s="83"/>
      <c r="C73" s="37"/>
      <c r="D73" s="37"/>
      <c r="E73" s="37"/>
      <c r="F73" s="37"/>
      <c r="G73" s="3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37"/>
      <c r="B74" s="83"/>
      <c r="C74" s="37"/>
      <c r="D74" s="37"/>
      <c r="E74" s="37"/>
      <c r="F74" s="37"/>
      <c r="G74" s="3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37"/>
      <c r="B75" s="83"/>
      <c r="C75" s="37"/>
      <c r="D75" s="37"/>
      <c r="E75" s="37"/>
      <c r="F75" s="37"/>
      <c r="G75" s="3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37"/>
      <c r="B76" s="83"/>
      <c r="C76" s="37"/>
      <c r="D76" s="37"/>
      <c r="E76" s="37"/>
      <c r="F76" s="37"/>
      <c r="G76" s="3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37"/>
      <c r="B77" s="83"/>
      <c r="C77" s="37"/>
      <c r="D77" s="37"/>
      <c r="E77" s="37"/>
      <c r="F77" s="37"/>
      <c r="G77" s="3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37"/>
      <c r="B78" s="83"/>
      <c r="C78" s="37"/>
      <c r="D78" s="37"/>
      <c r="E78" s="37"/>
      <c r="F78" s="37"/>
      <c r="G78" s="3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8.75" customHeight="1">
      <c r="A960" s="37"/>
      <c r="B960" s="83"/>
      <c r="C960" s="37"/>
      <c r="D960" s="37"/>
      <c r="E960" s="37"/>
      <c r="F960" s="37"/>
      <c r="G960" s="3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8.75" customHeight="1">
      <c r="A961" s="37"/>
      <c r="B961" s="83"/>
      <c r="C961" s="37"/>
      <c r="D961" s="37"/>
      <c r="E961" s="37"/>
      <c r="F961" s="37"/>
      <c r="G961" s="3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8.75" customHeight="1">
      <c r="A962" s="37"/>
      <c r="B962" s="83"/>
      <c r="C962" s="37"/>
      <c r="D962" s="37"/>
      <c r="E962" s="37"/>
      <c r="F962" s="37"/>
      <c r="G962" s="3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8.75" customHeight="1">
      <c r="A963" s="37"/>
      <c r="B963" s="83"/>
      <c r="C963" s="37"/>
      <c r="D963" s="37"/>
      <c r="E963" s="37"/>
      <c r="F963" s="37"/>
      <c r="G963" s="3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8.75" customHeight="1">
      <c r="A964" s="37"/>
      <c r="B964" s="83"/>
      <c r="C964" s="37"/>
      <c r="D964" s="37"/>
      <c r="E964" s="37"/>
      <c r="F964" s="37"/>
      <c r="G964" s="3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8.75" customHeight="1">
      <c r="A965" s="37"/>
      <c r="B965" s="83"/>
      <c r="C965" s="37"/>
      <c r="D965" s="37"/>
      <c r="E965" s="37"/>
      <c r="F965" s="37"/>
      <c r="G965" s="3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8.75" customHeight="1">
      <c r="A966" s="37"/>
      <c r="B966" s="83"/>
      <c r="C966" s="37"/>
      <c r="D966" s="37"/>
      <c r="E966" s="37"/>
      <c r="F966" s="37"/>
      <c r="G966" s="3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8.75" customHeight="1">
      <c r="A967" s="37"/>
      <c r="B967" s="83"/>
      <c r="C967" s="37"/>
      <c r="D967" s="37"/>
      <c r="E967" s="37"/>
      <c r="F967" s="37"/>
      <c r="G967" s="3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8.75" customHeight="1">
      <c r="A968" s="37"/>
      <c r="B968" s="83"/>
      <c r="C968" s="37"/>
      <c r="D968" s="37"/>
      <c r="E968" s="37"/>
      <c r="F968" s="37"/>
      <c r="G968" s="3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8.75" customHeight="1">
      <c r="A969" s="37"/>
      <c r="B969" s="83"/>
      <c r="C969" s="37"/>
      <c r="D969" s="37"/>
      <c r="E969" s="37"/>
      <c r="F969" s="37"/>
      <c r="G969" s="3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8.75" customHeight="1">
      <c r="A970" s="37"/>
      <c r="B970" s="83"/>
      <c r="C970" s="37"/>
      <c r="D970" s="37"/>
      <c r="E970" s="37"/>
      <c r="F970" s="37"/>
      <c r="G970" s="3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8.75" customHeight="1">
      <c r="A971" s="37"/>
      <c r="B971" s="83"/>
      <c r="C971" s="37"/>
      <c r="D971" s="37"/>
      <c r="E971" s="37"/>
      <c r="F971" s="37"/>
      <c r="G971" s="3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8.75" customHeight="1">
      <c r="A972" s="37"/>
      <c r="B972" s="83"/>
      <c r="C972" s="37"/>
      <c r="D972" s="37"/>
      <c r="E972" s="37"/>
      <c r="F972" s="37"/>
      <c r="G972" s="37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8.75" customHeight="1">
      <c r="A973" s="37"/>
      <c r="B973" s="83"/>
      <c r="C973" s="37"/>
      <c r="D973" s="37"/>
      <c r="E973" s="37"/>
      <c r="F973" s="37"/>
      <c r="G973" s="37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8.75" customHeight="1">
      <c r="A974" s="37"/>
      <c r="B974" s="83"/>
      <c r="C974" s="37"/>
      <c r="D974" s="37"/>
      <c r="E974" s="37"/>
      <c r="F974" s="37"/>
      <c r="G974" s="37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8.75" customHeight="1">
      <c r="A975" s="37"/>
      <c r="B975" s="83"/>
      <c r="C975" s="37"/>
      <c r="D975" s="37"/>
      <c r="E975" s="37"/>
      <c r="F975" s="37"/>
      <c r="G975" s="37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8.75" customHeight="1">
      <c r="A976" s="37"/>
      <c r="B976" s="83"/>
      <c r="C976" s="37"/>
      <c r="D976" s="37"/>
      <c r="E976" s="37"/>
      <c r="F976" s="37"/>
      <c r="G976" s="37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8.75" customHeight="1">
      <c r="A977" s="37"/>
      <c r="B977" s="83"/>
      <c r="C977" s="37"/>
      <c r="D977" s="37"/>
      <c r="E977" s="37"/>
      <c r="F977" s="37"/>
      <c r="G977" s="37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8.75" customHeight="1">
      <c r="A978" s="37"/>
      <c r="B978" s="83"/>
      <c r="C978" s="37"/>
      <c r="D978" s="37"/>
      <c r="E978" s="37"/>
      <c r="F978" s="37"/>
      <c r="G978" s="37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8.75" customHeight="1">
      <c r="A979" s="37"/>
      <c r="B979" s="83"/>
      <c r="C979" s="37"/>
      <c r="D979" s="37"/>
      <c r="E979" s="37"/>
      <c r="F979" s="37"/>
      <c r="G979" s="37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8.75" customHeight="1">
      <c r="A980" s="37"/>
      <c r="B980" s="83"/>
      <c r="C980" s="37"/>
      <c r="D980" s="37"/>
      <c r="E980" s="37"/>
      <c r="F980" s="37"/>
      <c r="G980" s="37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8.75" customHeight="1">
      <c r="A981" s="37"/>
      <c r="B981" s="83"/>
      <c r="C981" s="37"/>
      <c r="D981" s="37"/>
      <c r="E981" s="37"/>
      <c r="F981" s="37"/>
      <c r="G981" s="37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8.75" customHeight="1">
      <c r="A982" s="37"/>
      <c r="B982" s="83"/>
      <c r="C982" s="37"/>
      <c r="D982" s="37"/>
      <c r="E982" s="37"/>
      <c r="F982" s="37"/>
      <c r="G982" s="37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8.75" customHeight="1">
      <c r="A983" s="37"/>
      <c r="B983" s="83"/>
      <c r="C983" s="37"/>
      <c r="D983" s="37"/>
      <c r="E983" s="37"/>
      <c r="F983" s="37"/>
      <c r="G983" s="37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8.75" customHeight="1">
      <c r="A984" s="37"/>
      <c r="B984" s="83"/>
      <c r="C984" s="37"/>
      <c r="D984" s="37"/>
      <c r="E984" s="37"/>
      <c r="F984" s="37"/>
      <c r="G984" s="37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8.75" customHeight="1">
      <c r="A985" s="37"/>
      <c r="B985" s="83"/>
      <c r="C985" s="37"/>
      <c r="D985" s="37"/>
      <c r="E985" s="37"/>
      <c r="F985" s="37"/>
      <c r="G985" s="37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8.75" customHeight="1">
      <c r="A986" s="37"/>
      <c r="B986" s="83"/>
      <c r="C986" s="37"/>
      <c r="D986" s="37"/>
      <c r="E986" s="37"/>
      <c r="F986" s="37"/>
      <c r="G986" s="37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8.75" customHeight="1">
      <c r="A987" s="37"/>
      <c r="B987" s="83"/>
      <c r="C987" s="37"/>
      <c r="D987" s="37"/>
      <c r="E987" s="37"/>
      <c r="F987" s="37"/>
      <c r="G987" s="37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8.75" customHeight="1">
      <c r="A988" s="37"/>
      <c r="B988" s="83"/>
      <c r="C988" s="37"/>
      <c r="D988" s="37"/>
      <c r="E988" s="37"/>
      <c r="F988" s="37"/>
      <c r="G988" s="37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8.75" customHeight="1">
      <c r="A989" s="37"/>
      <c r="B989" s="83"/>
      <c r="C989" s="37"/>
      <c r="D989" s="37"/>
      <c r="E989" s="37"/>
      <c r="F989" s="37"/>
      <c r="G989" s="37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8.75" customHeight="1">
      <c r="A990" s="37"/>
      <c r="B990" s="83"/>
      <c r="C990" s="37"/>
      <c r="D990" s="37"/>
      <c r="E990" s="37"/>
      <c r="F990" s="37"/>
      <c r="G990" s="37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8.75" customHeight="1">
      <c r="A991" s="37"/>
      <c r="B991" s="83"/>
      <c r="C991" s="37"/>
      <c r="D991" s="37"/>
      <c r="E991" s="37"/>
      <c r="F991" s="37"/>
      <c r="G991" s="37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8.75" customHeight="1">
      <c r="A992" s="37"/>
      <c r="B992" s="83"/>
      <c r="C992" s="37"/>
      <c r="D992" s="37"/>
      <c r="E992" s="37"/>
      <c r="F992" s="37"/>
      <c r="G992" s="37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8.75" customHeight="1">
      <c r="A993" s="37"/>
      <c r="B993" s="83"/>
      <c r="C993" s="37"/>
      <c r="D993" s="37"/>
      <c r="E993" s="37"/>
      <c r="F993" s="37"/>
      <c r="G993" s="37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8.75" customHeight="1">
      <c r="A994" s="37"/>
      <c r="B994" s="83"/>
      <c r="C994" s="37"/>
      <c r="D994" s="37"/>
      <c r="E994" s="37"/>
      <c r="F994" s="37"/>
      <c r="G994" s="37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8.75" customHeight="1">
      <c r="A995" s="37"/>
      <c r="B995" s="83"/>
      <c r="C995" s="37"/>
      <c r="D995" s="37"/>
      <c r="E995" s="37"/>
      <c r="F995" s="37"/>
      <c r="G995" s="37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8.75" customHeight="1">
      <c r="A996" s="37"/>
      <c r="B996" s="83"/>
      <c r="C996" s="37"/>
      <c r="D996" s="37"/>
      <c r="E996" s="37"/>
      <c r="F996" s="37"/>
      <c r="G996" s="37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8.75" customHeight="1">
      <c r="A997" s="37"/>
      <c r="B997" s="83"/>
      <c r="C997" s="37"/>
      <c r="D997" s="37"/>
      <c r="E997" s="37"/>
      <c r="F997" s="37"/>
      <c r="G997" s="37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8.75" customHeight="1">
      <c r="A998" s="37"/>
      <c r="B998" s="83"/>
      <c r="C998" s="37"/>
      <c r="D998" s="37"/>
      <c r="E998" s="37"/>
      <c r="F998" s="37"/>
      <c r="G998" s="37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8.75" customHeight="1">
      <c r="A999" s="37"/>
      <c r="B999" s="83"/>
      <c r="C999" s="37"/>
      <c r="D999" s="37"/>
      <c r="E999" s="37"/>
      <c r="F999" s="37"/>
      <c r="G999" s="37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8.75" customHeight="1">
      <c r="A1000" s="37"/>
      <c r="B1000" s="83"/>
      <c r="C1000" s="37"/>
      <c r="D1000" s="37"/>
      <c r="E1000" s="37"/>
      <c r="F1000" s="37"/>
      <c r="G1000" s="37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conditionalFormatting sqref="B3:B53">
    <cfRule type="expression" dxfId="2" priority="1">
      <formula>$A3=TRUE</formula>
    </cfRule>
  </conditionalFormatting>
  <conditionalFormatting sqref="A3:H53">
    <cfRule type="expression" dxfId="0" priority="2">
      <formula>$A3=TRUE</formula>
    </cfRule>
  </conditionalFormatting>
  <conditionalFormatting sqref="E3:E53">
    <cfRule type="cellIs" dxfId="3" priority="3" operator="equal">
      <formula>"Done"</formula>
    </cfRule>
  </conditionalFormatting>
  <conditionalFormatting sqref="E3:E53">
    <cfRule type="cellIs" dxfId="4" priority="4" operator="equal">
      <formula>"Can be Improved"</formula>
    </cfRule>
  </conditionalFormatting>
  <conditionalFormatting sqref="E3:E53">
    <cfRule type="cellIs" dxfId="5" priority="5" operator="equal">
      <formula>"To Do"</formula>
    </cfRule>
  </conditionalFormatting>
  <conditionalFormatting sqref="A3:H53">
    <cfRule type="expression" dxfId="1" priority="6">
      <formula>OR($E3="Done",$E3="Irrelevant")</formula>
    </cfRule>
  </conditionalFormatting>
  <dataValidations>
    <dataValidation type="list" allowBlank="1" sqref="E4:E8 E10:E16 E18:E24 E26:E38 E40:E53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7"/>
    <hyperlink r:id="rId8" ref="D7"/>
    <hyperlink r:id="rId9" ref="C8"/>
    <hyperlink r:id="rId10" ref="D8"/>
    <hyperlink r:id="rId11" ref="C10"/>
    <hyperlink r:id="rId12" ref="D10"/>
    <hyperlink r:id="rId13" ref="C11"/>
    <hyperlink r:id="rId14" ref="D11"/>
    <hyperlink r:id="rId15" ref="C12"/>
    <hyperlink r:id="rId16" ref="D12"/>
    <hyperlink r:id="rId17" ref="C13"/>
    <hyperlink r:id="rId18" ref="D13"/>
    <hyperlink r:id="rId19" ref="C14"/>
    <hyperlink r:id="rId20" ref="D14"/>
    <hyperlink r:id="rId21" ref="C15"/>
    <hyperlink r:id="rId22" ref="D15"/>
    <hyperlink r:id="rId23" ref="C16"/>
    <hyperlink r:id="rId24" ref="D16"/>
    <hyperlink r:id="rId25" ref="C18"/>
    <hyperlink r:id="rId26" ref="D18"/>
    <hyperlink r:id="rId27" ref="C19"/>
    <hyperlink r:id="rId28" ref="D19"/>
    <hyperlink r:id="rId29" ref="C20"/>
    <hyperlink r:id="rId30" ref="D20"/>
    <hyperlink r:id="rId31" ref="C21"/>
    <hyperlink r:id="rId32" ref="D21"/>
    <hyperlink r:id="rId33" ref="C22"/>
    <hyperlink r:id="rId34" ref="D22"/>
    <hyperlink r:id="rId35" ref="C23"/>
    <hyperlink r:id="rId36" ref="D23"/>
    <hyperlink r:id="rId37" ref="C24"/>
    <hyperlink r:id="rId38" ref="D24"/>
    <hyperlink r:id="rId39" ref="C26"/>
    <hyperlink r:id="rId40" ref="D26"/>
    <hyperlink r:id="rId41" ref="C27"/>
    <hyperlink r:id="rId42" ref="D27"/>
    <hyperlink r:id="rId43" ref="C28"/>
    <hyperlink r:id="rId44" ref="D28"/>
    <hyperlink r:id="rId45" ref="C29"/>
    <hyperlink r:id="rId46" ref="D29"/>
    <hyperlink r:id="rId47" ref="C30"/>
    <hyperlink r:id="rId48" ref="D30"/>
    <hyperlink r:id="rId49" ref="C31"/>
    <hyperlink r:id="rId50" ref="D31"/>
    <hyperlink r:id="rId51" ref="C32"/>
    <hyperlink r:id="rId52" ref="D32"/>
    <hyperlink r:id="rId53" ref="C33"/>
    <hyperlink r:id="rId54" ref="D33"/>
    <hyperlink r:id="rId55" ref="C34"/>
    <hyperlink r:id="rId56" ref="D34"/>
    <hyperlink r:id="rId57" ref="C35"/>
    <hyperlink r:id="rId58" ref="D35"/>
    <hyperlink r:id="rId59" ref="C36"/>
    <hyperlink r:id="rId60" ref="D36"/>
    <hyperlink r:id="rId61" ref="C37"/>
    <hyperlink r:id="rId62" ref="D37"/>
    <hyperlink r:id="rId63" ref="C38"/>
    <hyperlink r:id="rId64" ref="D38"/>
    <hyperlink r:id="rId65" ref="C40"/>
    <hyperlink r:id="rId66" ref="D40"/>
    <hyperlink r:id="rId67" ref="C41"/>
    <hyperlink r:id="rId68" ref="D41"/>
    <hyperlink r:id="rId69" ref="C42"/>
    <hyperlink r:id="rId70" ref="D42"/>
    <hyperlink r:id="rId71" ref="C43"/>
    <hyperlink r:id="rId72" ref="D43"/>
    <hyperlink r:id="rId73" ref="C44"/>
    <hyperlink r:id="rId74" ref="D44"/>
    <hyperlink r:id="rId75" ref="C45"/>
    <hyperlink r:id="rId76" ref="D45"/>
    <hyperlink r:id="rId77" ref="C46"/>
    <hyperlink r:id="rId78" ref="D46"/>
    <hyperlink r:id="rId79" ref="C47"/>
    <hyperlink r:id="rId80" ref="D47"/>
    <hyperlink r:id="rId81" ref="C48"/>
    <hyperlink r:id="rId82" ref="D48"/>
    <hyperlink r:id="rId83" ref="C49"/>
    <hyperlink r:id="rId84" ref="D49"/>
    <hyperlink r:id="rId85" ref="C50"/>
    <hyperlink r:id="rId86" ref="D50"/>
    <hyperlink r:id="rId87" ref="C51"/>
    <hyperlink r:id="rId88" ref="D51"/>
    <hyperlink r:id="rId89" ref="C52"/>
    <hyperlink r:id="rId90" ref="D52"/>
    <hyperlink r:id="rId91" ref="C53"/>
    <hyperlink r:id="rId92" ref="D53"/>
  </hyperlinks>
  <drawing r:id="rId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11.63"/>
    <col customWidth="1" min="3" max="4" width="10.13"/>
    <col customWidth="1" min="5" max="5" width="15.13"/>
    <col customWidth="1" min="6" max="7" width="10.13"/>
    <col customWidth="1" min="8" max="8" width="16.38"/>
    <col hidden="1" min="9" max="25" width="12.63"/>
  </cols>
  <sheetData>
    <row r="1" ht="52.5" customHeight="1">
      <c r="A1" s="1"/>
      <c r="B1" s="3" t="s">
        <v>183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184</v>
      </c>
      <c r="B2" s="57" t="s">
        <v>185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 t="s">
        <v>186</v>
      </c>
      <c r="B3" s="61" t="s">
        <v>122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65" t="b">
        <v>0</v>
      </c>
      <c r="B4" s="66" t="s">
        <v>187</v>
      </c>
      <c r="C4" s="84" t="s">
        <v>130</v>
      </c>
      <c r="D4" s="84" t="s">
        <v>130</v>
      </c>
      <c r="E4" s="68" t="s">
        <v>5</v>
      </c>
      <c r="F4" s="69">
        <f t="shared" ref="F4:F17" si="1">IF(E4="Not Relevant","",IF(E4="Good","",IF(E4="Bad",2,1)))+G4</f>
        <v>4</v>
      </c>
      <c r="G4" s="69">
        <v>3.0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71" t="b">
        <v>0</v>
      </c>
      <c r="B5" s="72" t="s">
        <v>188</v>
      </c>
      <c r="C5" s="84" t="s">
        <v>130</v>
      </c>
      <c r="D5" s="84" t="s">
        <v>130</v>
      </c>
      <c r="E5" s="73" t="s">
        <v>5</v>
      </c>
      <c r="F5" s="74">
        <f t="shared" si="1"/>
        <v>3</v>
      </c>
      <c r="G5" s="74">
        <v>2.0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71" t="b">
        <v>0</v>
      </c>
      <c r="B6" s="72" t="s">
        <v>189</v>
      </c>
      <c r="C6" s="84" t="s">
        <v>130</v>
      </c>
      <c r="D6" s="84" t="s">
        <v>130</v>
      </c>
      <c r="E6" s="73" t="s">
        <v>5</v>
      </c>
      <c r="F6" s="74">
        <f t="shared" si="1"/>
        <v>3</v>
      </c>
      <c r="G6" s="74">
        <v>2.0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75" customHeight="1">
      <c r="A7" s="71" t="b">
        <v>0</v>
      </c>
      <c r="B7" s="72" t="s">
        <v>190</v>
      </c>
      <c r="C7" s="84" t="s">
        <v>130</v>
      </c>
      <c r="D7" s="84" t="s">
        <v>130</v>
      </c>
      <c r="E7" s="73" t="s">
        <v>5</v>
      </c>
      <c r="F7" s="74">
        <f t="shared" si="1"/>
        <v>2</v>
      </c>
      <c r="G7" s="74">
        <v>1.0</v>
      </c>
      <c r="H7" s="70" t="str">
        <f>IFERROR(__xludf.DUMMYFUNCTION("SPARKLINE(F7,{""charttype"",""bar"";""max"",5;""min"",1;""color1"",""#180c56""})"),"")</f>
        <v/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75" customHeight="1">
      <c r="A8" s="71" t="b">
        <v>0</v>
      </c>
      <c r="B8" s="72" t="s">
        <v>191</v>
      </c>
      <c r="C8" s="84" t="s">
        <v>130</v>
      </c>
      <c r="D8" s="84" t="s">
        <v>130</v>
      </c>
      <c r="E8" s="73" t="s">
        <v>5</v>
      </c>
      <c r="F8" s="74">
        <f t="shared" si="1"/>
        <v>4</v>
      </c>
      <c r="G8" s="74">
        <v>3.0</v>
      </c>
      <c r="H8" s="70" t="str">
        <f>IFERROR(__xludf.DUMMYFUNCTION("SPARKLINE(F8,{""charttype"",""bar"";""max"",5;""min"",1;""color1"",""#180c56""})"),"")</f>
        <v/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75" customHeight="1">
      <c r="A9" s="71" t="b">
        <v>0</v>
      </c>
      <c r="B9" s="72" t="s">
        <v>192</v>
      </c>
      <c r="C9" s="84" t="s">
        <v>130</v>
      </c>
      <c r="D9" s="84" t="s">
        <v>130</v>
      </c>
      <c r="E9" s="73" t="s">
        <v>5</v>
      </c>
      <c r="F9" s="74">
        <f t="shared" si="1"/>
        <v>3</v>
      </c>
      <c r="G9" s="74">
        <v>2.0</v>
      </c>
      <c r="H9" s="70" t="str">
        <f>IFERROR(__xludf.DUMMYFUNCTION("SPARKLINE(F9,{""charttype"",""bar"";""max"",5;""min"",1;""color1"",""#180c56""})"),"")</f>
        <v/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75" customHeight="1">
      <c r="A10" s="71" t="b">
        <v>0</v>
      </c>
      <c r="B10" s="72" t="s">
        <v>193</v>
      </c>
      <c r="C10" s="84" t="s">
        <v>130</v>
      </c>
      <c r="D10" s="84" t="s">
        <v>130</v>
      </c>
      <c r="E10" s="73" t="s">
        <v>5</v>
      </c>
      <c r="F10" s="74">
        <f t="shared" si="1"/>
        <v>2</v>
      </c>
      <c r="G10" s="74">
        <v>1.0</v>
      </c>
      <c r="H10" s="70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71" t="b">
        <v>0</v>
      </c>
      <c r="B11" s="72" t="s">
        <v>194</v>
      </c>
      <c r="C11" s="84" t="s">
        <v>130</v>
      </c>
      <c r="D11" s="84" t="s">
        <v>130</v>
      </c>
      <c r="E11" s="73" t="s">
        <v>5</v>
      </c>
      <c r="F11" s="74">
        <f t="shared" si="1"/>
        <v>3</v>
      </c>
      <c r="G11" s="74">
        <v>2.0</v>
      </c>
      <c r="H11" s="70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71" t="b">
        <v>0</v>
      </c>
      <c r="B12" s="72" t="s">
        <v>195</v>
      </c>
      <c r="C12" s="84" t="s">
        <v>130</v>
      </c>
      <c r="D12" s="84" t="s">
        <v>130</v>
      </c>
      <c r="E12" s="73" t="s">
        <v>5</v>
      </c>
      <c r="F12" s="74">
        <f t="shared" si="1"/>
        <v>3</v>
      </c>
      <c r="G12" s="74">
        <v>2.0</v>
      </c>
      <c r="H12" s="70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75" customHeight="1">
      <c r="A13" s="71" t="b">
        <v>0</v>
      </c>
      <c r="B13" s="72" t="s">
        <v>196</v>
      </c>
      <c r="C13" s="84" t="s">
        <v>130</v>
      </c>
      <c r="D13" s="84" t="s">
        <v>130</v>
      </c>
      <c r="E13" s="73" t="s">
        <v>5</v>
      </c>
      <c r="F13" s="74">
        <f t="shared" si="1"/>
        <v>4</v>
      </c>
      <c r="G13" s="74">
        <v>3.0</v>
      </c>
      <c r="H13" s="70" t="str">
        <f>IFERROR(__xludf.DUMMYFUNCTION("SPARKLINE(F13,{""charttype"",""bar"";""max"",5;""min"",1;""color1"",""#180c56""})"),"")</f>
        <v/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75" customHeight="1">
      <c r="A14" s="71" t="b">
        <v>0</v>
      </c>
      <c r="B14" s="72" t="s">
        <v>197</v>
      </c>
      <c r="C14" s="84" t="s">
        <v>130</v>
      </c>
      <c r="D14" s="84" t="s">
        <v>130</v>
      </c>
      <c r="E14" s="73" t="s">
        <v>5</v>
      </c>
      <c r="F14" s="74">
        <f t="shared" si="1"/>
        <v>3</v>
      </c>
      <c r="G14" s="74">
        <v>2.0</v>
      </c>
      <c r="H14" s="70" t="str">
        <f>IFERROR(__xludf.DUMMYFUNCTION("SPARKLINE(F14,{""charttype"",""bar"";""max"",5;""min"",1;""color1"",""#180c56""})"),"")</f>
        <v/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71" t="b">
        <v>0</v>
      </c>
      <c r="B15" s="72" t="s">
        <v>198</v>
      </c>
      <c r="C15" s="84" t="s">
        <v>130</v>
      </c>
      <c r="D15" s="84" t="s">
        <v>130</v>
      </c>
      <c r="E15" s="73" t="s">
        <v>5</v>
      </c>
      <c r="F15" s="74">
        <f t="shared" si="1"/>
        <v>4</v>
      </c>
      <c r="G15" s="74">
        <v>3.0</v>
      </c>
      <c r="H15" s="70" t="str">
        <f>IFERROR(__xludf.DUMMYFUNCTION("SPARKLINE(F15,{""charttype"",""bar"";""max"",5;""min"",1;""color1"",""#180c56""})"),"")</f>
        <v/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75" customHeight="1">
      <c r="A16" s="71" t="b">
        <v>0</v>
      </c>
      <c r="B16" s="72" t="s">
        <v>199</v>
      </c>
      <c r="C16" s="84" t="s">
        <v>130</v>
      </c>
      <c r="D16" s="84" t="s">
        <v>130</v>
      </c>
      <c r="E16" s="73" t="s">
        <v>5</v>
      </c>
      <c r="F16" s="74">
        <f t="shared" si="1"/>
        <v>4</v>
      </c>
      <c r="G16" s="74">
        <v>3.0</v>
      </c>
      <c r="H16" s="70" t="str">
        <f>IFERROR(__xludf.DUMMYFUNCTION("SPARKLINE(F16,{""charttype"",""bar"";""max"",5;""min"",1;""color1"",""#180c56""})"),"")</f>
        <v/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75" customHeight="1">
      <c r="A17" s="71" t="b">
        <v>0</v>
      </c>
      <c r="B17" s="72" t="s">
        <v>200</v>
      </c>
      <c r="C17" s="84" t="s">
        <v>130</v>
      </c>
      <c r="D17" s="84" t="s">
        <v>130</v>
      </c>
      <c r="E17" s="73" t="s">
        <v>5</v>
      </c>
      <c r="F17" s="74">
        <f t="shared" si="1"/>
        <v>3</v>
      </c>
      <c r="G17" s="74">
        <v>2.0</v>
      </c>
      <c r="H17" s="70" t="str">
        <f>IFERROR(__xludf.DUMMYFUNCTION("SPARKLINE(F17,{""charttype"",""bar"";""max"",5;""min"",1;""color1"",""#180c56""})"),"")</f>
        <v/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22.5" customHeight="1">
      <c r="A18" s="60" t="s">
        <v>201</v>
      </c>
      <c r="B18" s="61" t="s">
        <v>202</v>
      </c>
      <c r="C18" s="62"/>
      <c r="D18" s="62"/>
      <c r="E18" s="62"/>
      <c r="F18" s="62"/>
      <c r="G18" s="62"/>
      <c r="H18" s="63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ht="18.75" customHeight="1">
      <c r="A19" s="71" t="b">
        <v>0</v>
      </c>
      <c r="B19" s="72" t="s">
        <v>203</v>
      </c>
      <c r="C19" s="85" t="s">
        <v>130</v>
      </c>
      <c r="D19" s="85" t="s">
        <v>130</v>
      </c>
      <c r="E19" s="73" t="s">
        <v>5</v>
      </c>
      <c r="F19" s="74">
        <f t="shared" ref="F19:F24" si="2">IF(E19="Not Relevant","",IF(E19="Good","",IF(E19="Bad",2,1)))+G19</f>
        <v>4</v>
      </c>
      <c r="G19" s="74">
        <v>3.0</v>
      </c>
      <c r="H19" s="75" t="str">
        <f>IFERROR(__xludf.DUMMYFUNCTION("SPARKLINE(F19,{""charttype"",""bar"";""max"",5;""min"",1;""color1"",""#180c56""})"),"")</f>
        <v/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71" t="b">
        <v>0</v>
      </c>
      <c r="B20" s="72" t="s">
        <v>204</v>
      </c>
      <c r="C20" s="85" t="s">
        <v>130</v>
      </c>
      <c r="D20" s="85" t="s">
        <v>130</v>
      </c>
      <c r="E20" s="73" t="s">
        <v>5</v>
      </c>
      <c r="F20" s="74">
        <f t="shared" si="2"/>
        <v>4</v>
      </c>
      <c r="G20" s="74">
        <v>3.0</v>
      </c>
      <c r="H20" s="75" t="str">
        <f>IFERROR(__xludf.DUMMYFUNCTION("SPARKLINE(F20,{""charttype"",""bar"";""max"",5;""min"",1;""color1"",""#180c56""})"),"")</f>
        <v/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71" t="b">
        <v>0</v>
      </c>
      <c r="B21" s="72" t="s">
        <v>205</v>
      </c>
      <c r="C21" s="85" t="s">
        <v>130</v>
      </c>
      <c r="D21" s="85" t="s">
        <v>130</v>
      </c>
      <c r="E21" s="73" t="s">
        <v>5</v>
      </c>
      <c r="F21" s="74">
        <f t="shared" si="2"/>
        <v>4</v>
      </c>
      <c r="G21" s="74">
        <v>3.0</v>
      </c>
      <c r="H21" s="75" t="str">
        <f>IFERROR(__xludf.DUMMYFUNCTION("SPARKLINE(F21,{""charttype"",""bar"";""max"",5;""min"",1;""color1"",""#180c56""})"),"")</f>
        <v/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71" t="b">
        <v>0</v>
      </c>
      <c r="B22" s="72" t="s">
        <v>206</v>
      </c>
      <c r="C22" s="85" t="s">
        <v>130</v>
      </c>
      <c r="D22" s="85" t="s">
        <v>130</v>
      </c>
      <c r="E22" s="73" t="s">
        <v>5</v>
      </c>
      <c r="F22" s="74">
        <f t="shared" si="2"/>
        <v>4</v>
      </c>
      <c r="G22" s="74">
        <v>3.0</v>
      </c>
      <c r="H22" s="75" t="str">
        <f>IFERROR(__xludf.DUMMYFUNCTION("SPARKLINE(F22,{""charttype"",""bar"";""max"",5;""min"",1;""color1"",""#180c56""})"),"")</f>
        <v/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71" t="b">
        <v>0</v>
      </c>
      <c r="B23" s="72" t="s">
        <v>207</v>
      </c>
      <c r="C23" s="85" t="s">
        <v>130</v>
      </c>
      <c r="D23" s="85" t="s">
        <v>130</v>
      </c>
      <c r="E23" s="73" t="s">
        <v>5</v>
      </c>
      <c r="F23" s="74">
        <f t="shared" si="2"/>
        <v>4</v>
      </c>
      <c r="G23" s="74">
        <v>3.0</v>
      </c>
      <c r="H23" s="75" t="str">
        <f>IFERROR(__xludf.DUMMYFUNCTION("SPARKLINE(F23,{""charttype"",""bar"";""max"",5;""min"",1;""color1"",""#180c56""})"),"")</f>
        <v/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77" t="b">
        <v>0</v>
      </c>
      <c r="B24" s="78" t="s">
        <v>208</v>
      </c>
      <c r="C24" s="86" t="s">
        <v>130</v>
      </c>
      <c r="D24" s="86" t="s">
        <v>130</v>
      </c>
      <c r="E24" s="80" t="s">
        <v>5</v>
      </c>
      <c r="F24" s="81">
        <f t="shared" si="2"/>
        <v>3</v>
      </c>
      <c r="G24" s="81">
        <v>2.0</v>
      </c>
      <c r="H24" s="82" t="str">
        <f>IFERROR(__xludf.DUMMYFUNCTION("SPARKLINE(F24,{""charttype"",""bar"";""max"",5;""min"",1;""color1"",""#180c56""})"),"")</f>
        <v/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75" customHeight="1">
      <c r="A25" s="37"/>
      <c r="B25" s="83"/>
      <c r="C25" s="37"/>
      <c r="D25" s="37"/>
      <c r="E25" s="37"/>
      <c r="F25" s="37"/>
      <c r="G25" s="3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75" customHeight="1">
      <c r="A26" s="37"/>
      <c r="B26" s="83"/>
      <c r="C26" s="37"/>
      <c r="D26" s="37"/>
      <c r="E26" s="37"/>
      <c r="F26" s="37"/>
      <c r="G26" s="37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75" customHeight="1">
      <c r="A27" s="37"/>
      <c r="B27" s="83"/>
      <c r="C27" s="37"/>
      <c r="D27" s="37"/>
      <c r="E27" s="37"/>
      <c r="F27" s="37"/>
      <c r="G27" s="37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75" customHeight="1">
      <c r="A28" s="37"/>
      <c r="B28" s="83"/>
      <c r="C28" s="37"/>
      <c r="D28" s="37"/>
      <c r="E28" s="37"/>
      <c r="F28" s="37"/>
      <c r="G28" s="37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37"/>
      <c r="B29" s="83"/>
      <c r="C29" s="37"/>
      <c r="D29" s="37"/>
      <c r="E29" s="37"/>
      <c r="F29" s="37"/>
      <c r="G29" s="37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75" customHeight="1">
      <c r="A30" s="37"/>
      <c r="B30" s="83"/>
      <c r="C30" s="37"/>
      <c r="D30" s="37"/>
      <c r="E30" s="37"/>
      <c r="F30" s="37"/>
      <c r="G30" s="3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75" customHeight="1">
      <c r="A31" s="37"/>
      <c r="B31" s="83"/>
      <c r="C31" s="37"/>
      <c r="D31" s="37"/>
      <c r="E31" s="37"/>
      <c r="F31" s="37"/>
      <c r="G31" s="37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75" customHeight="1">
      <c r="A32" s="37"/>
      <c r="B32" s="83"/>
      <c r="C32" s="37"/>
      <c r="D32" s="37"/>
      <c r="E32" s="37"/>
      <c r="F32" s="37"/>
      <c r="G32" s="37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75" customHeight="1">
      <c r="A33" s="37"/>
      <c r="B33" s="83"/>
      <c r="C33" s="37"/>
      <c r="D33" s="37"/>
      <c r="E33" s="37"/>
      <c r="F33" s="37"/>
      <c r="G33" s="3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75" customHeight="1">
      <c r="A34" s="37"/>
      <c r="B34" s="83"/>
      <c r="C34" s="37"/>
      <c r="D34" s="37"/>
      <c r="E34" s="37"/>
      <c r="F34" s="37"/>
      <c r="G34" s="37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75" customHeight="1">
      <c r="A35" s="37"/>
      <c r="B35" s="83"/>
      <c r="C35" s="37"/>
      <c r="D35" s="37"/>
      <c r="E35" s="37"/>
      <c r="F35" s="37"/>
      <c r="G35" s="37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37"/>
      <c r="B36" s="83"/>
      <c r="C36" s="37"/>
      <c r="D36" s="37"/>
      <c r="E36" s="37"/>
      <c r="F36" s="37"/>
      <c r="G36" s="37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37"/>
      <c r="B37" s="83"/>
      <c r="C37" s="37"/>
      <c r="D37" s="37"/>
      <c r="E37" s="37"/>
      <c r="F37" s="37"/>
      <c r="G37" s="3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37"/>
      <c r="B38" s="83"/>
      <c r="C38" s="37"/>
      <c r="D38" s="37"/>
      <c r="E38" s="37"/>
      <c r="F38" s="37"/>
      <c r="G38" s="3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75" customHeight="1">
      <c r="A39" s="37"/>
      <c r="B39" s="83"/>
      <c r="C39" s="37"/>
      <c r="D39" s="37"/>
      <c r="E39" s="37"/>
      <c r="F39" s="37"/>
      <c r="G39" s="3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75" customHeight="1">
      <c r="A40" s="37"/>
      <c r="B40" s="83"/>
      <c r="C40" s="37"/>
      <c r="D40" s="37"/>
      <c r="E40" s="37"/>
      <c r="F40" s="37"/>
      <c r="G40" s="3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37"/>
      <c r="B41" s="83"/>
      <c r="C41" s="37"/>
      <c r="D41" s="37"/>
      <c r="E41" s="37"/>
      <c r="F41" s="37"/>
      <c r="G41" s="3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37"/>
      <c r="B42" s="83"/>
      <c r="C42" s="37"/>
      <c r="D42" s="37"/>
      <c r="E42" s="37"/>
      <c r="F42" s="37"/>
      <c r="G42" s="3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37"/>
      <c r="B43" s="83"/>
      <c r="C43" s="37"/>
      <c r="D43" s="37"/>
      <c r="E43" s="37"/>
      <c r="F43" s="37"/>
      <c r="G43" s="3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37"/>
      <c r="B44" s="83"/>
      <c r="C44" s="37"/>
      <c r="D44" s="37"/>
      <c r="E44" s="37"/>
      <c r="F44" s="37"/>
      <c r="G44" s="3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37"/>
      <c r="B45" s="83"/>
      <c r="C45" s="37"/>
      <c r="D45" s="37"/>
      <c r="E45" s="37"/>
      <c r="F45" s="37"/>
      <c r="G45" s="3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37"/>
      <c r="B46" s="83"/>
      <c r="C46" s="37"/>
      <c r="D46" s="37"/>
      <c r="E46" s="37"/>
      <c r="F46" s="37"/>
      <c r="G46" s="3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37"/>
      <c r="B47" s="83"/>
      <c r="C47" s="37"/>
      <c r="D47" s="37"/>
      <c r="E47" s="37"/>
      <c r="F47" s="37"/>
      <c r="G47" s="3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37"/>
      <c r="B48" s="83"/>
      <c r="C48" s="37"/>
      <c r="D48" s="37"/>
      <c r="E48" s="37"/>
      <c r="F48" s="37"/>
      <c r="G48" s="3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75" customHeight="1">
      <c r="A49" s="37"/>
      <c r="B49" s="83"/>
      <c r="C49" s="37"/>
      <c r="D49" s="37"/>
      <c r="E49" s="37"/>
      <c r="F49" s="37"/>
      <c r="G49" s="3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75" customHeight="1">
      <c r="A50" s="37"/>
      <c r="B50" s="83"/>
      <c r="C50" s="37"/>
      <c r="D50" s="37"/>
      <c r="E50" s="37"/>
      <c r="F50" s="37"/>
      <c r="G50" s="3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75" customHeight="1">
      <c r="A51" s="37"/>
      <c r="B51" s="83"/>
      <c r="C51" s="37"/>
      <c r="D51" s="37"/>
      <c r="E51" s="37"/>
      <c r="F51" s="37"/>
      <c r="G51" s="3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37"/>
      <c r="B52" s="83"/>
      <c r="C52" s="37"/>
      <c r="D52" s="37"/>
      <c r="E52" s="37"/>
      <c r="F52" s="37"/>
      <c r="G52" s="3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37"/>
      <c r="B53" s="83"/>
      <c r="C53" s="37"/>
      <c r="D53" s="37"/>
      <c r="E53" s="37"/>
      <c r="F53" s="37"/>
      <c r="G53" s="3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37"/>
      <c r="B54" s="83"/>
      <c r="C54" s="37"/>
      <c r="D54" s="37"/>
      <c r="E54" s="37"/>
      <c r="F54" s="37"/>
      <c r="G54" s="3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37"/>
      <c r="B55" s="83"/>
      <c r="C55" s="37"/>
      <c r="D55" s="37"/>
      <c r="E55" s="37"/>
      <c r="F55" s="37"/>
      <c r="G55" s="3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37"/>
      <c r="B56" s="83"/>
      <c r="C56" s="37"/>
      <c r="D56" s="37"/>
      <c r="E56" s="37"/>
      <c r="F56" s="37"/>
      <c r="G56" s="3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37"/>
      <c r="B57" s="83"/>
      <c r="C57" s="37"/>
      <c r="D57" s="37"/>
      <c r="E57" s="37"/>
      <c r="F57" s="37"/>
      <c r="G57" s="3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75" customHeight="1">
      <c r="A58" s="37"/>
      <c r="B58" s="83"/>
      <c r="C58" s="37"/>
      <c r="D58" s="37"/>
      <c r="E58" s="37"/>
      <c r="F58" s="37"/>
      <c r="G58" s="3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75" customHeight="1">
      <c r="A59" s="37"/>
      <c r="B59" s="83"/>
      <c r="C59" s="37"/>
      <c r="D59" s="37"/>
      <c r="E59" s="37"/>
      <c r="F59" s="37"/>
      <c r="G59" s="3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75" customHeight="1">
      <c r="A60" s="37"/>
      <c r="B60" s="83"/>
      <c r="C60" s="37"/>
      <c r="D60" s="37"/>
      <c r="E60" s="37"/>
      <c r="F60" s="37"/>
      <c r="G60" s="3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37"/>
      <c r="B61" s="83"/>
      <c r="C61" s="37"/>
      <c r="D61" s="37"/>
      <c r="E61" s="37"/>
      <c r="F61" s="37"/>
      <c r="G61" s="3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37"/>
      <c r="B62" s="83"/>
      <c r="C62" s="37"/>
      <c r="D62" s="37"/>
      <c r="E62" s="37"/>
      <c r="F62" s="37"/>
      <c r="G62" s="3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37"/>
      <c r="B63" s="83"/>
      <c r="C63" s="37"/>
      <c r="D63" s="37"/>
      <c r="E63" s="37"/>
      <c r="F63" s="37"/>
      <c r="G63" s="3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37"/>
      <c r="B64" s="83"/>
      <c r="C64" s="37"/>
      <c r="D64" s="37"/>
      <c r="E64" s="37"/>
      <c r="F64" s="37"/>
      <c r="G64" s="3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37"/>
      <c r="B65" s="83"/>
      <c r="C65" s="37"/>
      <c r="D65" s="37"/>
      <c r="E65" s="37"/>
      <c r="F65" s="37"/>
      <c r="G65" s="3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37"/>
      <c r="B66" s="83"/>
      <c r="C66" s="37"/>
      <c r="D66" s="37"/>
      <c r="E66" s="37"/>
      <c r="F66" s="37"/>
      <c r="G66" s="3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37"/>
      <c r="B67" s="83"/>
      <c r="C67" s="37"/>
      <c r="D67" s="37"/>
      <c r="E67" s="37"/>
      <c r="F67" s="37"/>
      <c r="G67" s="3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75" customHeight="1">
      <c r="A68" s="37"/>
      <c r="B68" s="83"/>
      <c r="C68" s="37"/>
      <c r="D68" s="37"/>
      <c r="E68" s="37"/>
      <c r="F68" s="37"/>
      <c r="G68" s="3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75" customHeight="1">
      <c r="A69" s="37"/>
      <c r="B69" s="83"/>
      <c r="C69" s="37"/>
      <c r="D69" s="37"/>
      <c r="E69" s="37"/>
      <c r="F69" s="37"/>
      <c r="G69" s="3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37"/>
      <c r="B70" s="83"/>
      <c r="C70" s="37"/>
      <c r="D70" s="37"/>
      <c r="E70" s="37"/>
      <c r="F70" s="37"/>
      <c r="G70" s="3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37"/>
      <c r="B71" s="83"/>
      <c r="C71" s="37"/>
      <c r="D71" s="37"/>
      <c r="E71" s="37"/>
      <c r="F71" s="37"/>
      <c r="G71" s="3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37"/>
      <c r="B72" s="83"/>
      <c r="C72" s="37"/>
      <c r="D72" s="37"/>
      <c r="E72" s="37"/>
      <c r="F72" s="37"/>
      <c r="G72" s="3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37"/>
      <c r="B73" s="83"/>
      <c r="C73" s="37"/>
      <c r="D73" s="37"/>
      <c r="E73" s="37"/>
      <c r="F73" s="37"/>
      <c r="G73" s="3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37"/>
      <c r="B74" s="83"/>
      <c r="C74" s="37"/>
      <c r="D74" s="37"/>
      <c r="E74" s="37"/>
      <c r="F74" s="37"/>
      <c r="G74" s="3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37"/>
      <c r="B75" s="83"/>
      <c r="C75" s="37"/>
      <c r="D75" s="37"/>
      <c r="E75" s="37"/>
      <c r="F75" s="37"/>
      <c r="G75" s="3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37"/>
      <c r="B76" s="83"/>
      <c r="C76" s="37"/>
      <c r="D76" s="37"/>
      <c r="E76" s="37"/>
      <c r="F76" s="37"/>
      <c r="G76" s="3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37"/>
      <c r="B77" s="83"/>
      <c r="C77" s="37"/>
      <c r="D77" s="37"/>
      <c r="E77" s="37"/>
      <c r="F77" s="37"/>
      <c r="G77" s="3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37"/>
      <c r="B78" s="83"/>
      <c r="C78" s="37"/>
      <c r="D78" s="37"/>
      <c r="E78" s="37"/>
      <c r="F78" s="37"/>
      <c r="G78" s="3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8.75" customHeight="1">
      <c r="A960" s="37"/>
      <c r="B960" s="83"/>
      <c r="C960" s="37"/>
      <c r="D960" s="37"/>
      <c r="E960" s="37"/>
      <c r="F960" s="37"/>
      <c r="G960" s="3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8.75" customHeight="1">
      <c r="A961" s="37"/>
      <c r="B961" s="83"/>
      <c r="C961" s="37"/>
      <c r="D961" s="37"/>
      <c r="E961" s="37"/>
      <c r="F961" s="37"/>
      <c r="G961" s="3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8.75" customHeight="1">
      <c r="A962" s="37"/>
      <c r="B962" s="83"/>
      <c r="C962" s="37"/>
      <c r="D962" s="37"/>
      <c r="E962" s="37"/>
      <c r="F962" s="37"/>
      <c r="G962" s="3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8.75" customHeight="1">
      <c r="A963" s="37"/>
      <c r="B963" s="83"/>
      <c r="C963" s="37"/>
      <c r="D963" s="37"/>
      <c r="E963" s="37"/>
      <c r="F963" s="37"/>
      <c r="G963" s="3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8.75" customHeight="1">
      <c r="A964" s="37"/>
      <c r="B964" s="83"/>
      <c r="C964" s="37"/>
      <c r="D964" s="37"/>
      <c r="E964" s="37"/>
      <c r="F964" s="37"/>
      <c r="G964" s="3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8.75" customHeight="1">
      <c r="A965" s="37"/>
      <c r="B965" s="83"/>
      <c r="C965" s="37"/>
      <c r="D965" s="37"/>
      <c r="E965" s="37"/>
      <c r="F965" s="37"/>
      <c r="G965" s="3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8.75" customHeight="1">
      <c r="A966" s="37"/>
      <c r="B966" s="83"/>
      <c r="C966" s="37"/>
      <c r="D966" s="37"/>
      <c r="E966" s="37"/>
      <c r="F966" s="37"/>
      <c r="G966" s="3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8.75" customHeight="1">
      <c r="A967" s="37"/>
      <c r="B967" s="83"/>
      <c r="C967" s="37"/>
      <c r="D967" s="37"/>
      <c r="E967" s="37"/>
      <c r="F967" s="37"/>
      <c r="G967" s="3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8.75" customHeight="1">
      <c r="A968" s="37"/>
      <c r="B968" s="83"/>
      <c r="C968" s="37"/>
      <c r="D968" s="37"/>
      <c r="E968" s="37"/>
      <c r="F968" s="37"/>
      <c r="G968" s="3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8.75" customHeight="1">
      <c r="A969" s="37"/>
      <c r="B969" s="83"/>
      <c r="C969" s="37"/>
      <c r="D969" s="37"/>
      <c r="E969" s="37"/>
      <c r="F969" s="37"/>
      <c r="G969" s="3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8.75" customHeight="1">
      <c r="A970" s="37"/>
      <c r="B970" s="83"/>
      <c r="C970" s="37"/>
      <c r="D970" s="37"/>
      <c r="E970" s="37"/>
      <c r="F970" s="37"/>
      <c r="G970" s="3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8.75" customHeight="1">
      <c r="A971" s="37"/>
      <c r="B971" s="83"/>
      <c r="C971" s="37"/>
      <c r="D971" s="37"/>
      <c r="E971" s="37"/>
      <c r="F971" s="37"/>
      <c r="G971" s="3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</sheetData>
  <conditionalFormatting sqref="B3:B24">
    <cfRule type="expression" dxfId="2" priority="1">
      <formula>$A3=TRUE</formula>
    </cfRule>
  </conditionalFormatting>
  <conditionalFormatting sqref="A3:H24">
    <cfRule type="expression" dxfId="0" priority="2">
      <formula>$A3=TRUE</formula>
    </cfRule>
  </conditionalFormatting>
  <conditionalFormatting sqref="E3:E24">
    <cfRule type="cellIs" dxfId="3" priority="3" operator="equal">
      <formula>"Done"</formula>
    </cfRule>
  </conditionalFormatting>
  <conditionalFormatting sqref="E3:E24">
    <cfRule type="cellIs" dxfId="4" priority="4" operator="equal">
      <formula>"Can be Improved"</formula>
    </cfRule>
  </conditionalFormatting>
  <conditionalFormatting sqref="E3:E24">
    <cfRule type="cellIs" dxfId="5" priority="5" operator="equal">
      <formula>"To Do"</formula>
    </cfRule>
  </conditionalFormatting>
  <conditionalFormatting sqref="A3:H24">
    <cfRule type="expression" dxfId="1" priority="6">
      <formula>OR($E3="Done",$E3="Irrelevant")</formula>
    </cfRule>
  </conditionalFormatting>
  <dataValidations>
    <dataValidation type="list" allowBlank="1" sqref="E4:E17 E19:E24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7"/>
    <hyperlink r:id="rId8" ref="D7"/>
    <hyperlink r:id="rId9" ref="C8"/>
    <hyperlink r:id="rId10" ref="D8"/>
    <hyperlink r:id="rId11" ref="C9"/>
    <hyperlink r:id="rId12" ref="D9"/>
    <hyperlink r:id="rId13" ref="C10"/>
    <hyperlink r:id="rId14" ref="D10"/>
    <hyperlink r:id="rId15" ref="C11"/>
    <hyperlink r:id="rId16" ref="D11"/>
    <hyperlink r:id="rId17" ref="C12"/>
    <hyperlink r:id="rId18" ref="D12"/>
    <hyperlink r:id="rId19" ref="C13"/>
    <hyperlink r:id="rId20" ref="D13"/>
    <hyperlink r:id="rId21" ref="C14"/>
    <hyperlink r:id="rId22" ref="D14"/>
    <hyperlink r:id="rId23" ref="C15"/>
    <hyperlink r:id="rId24" ref="D15"/>
    <hyperlink r:id="rId25" ref="C16"/>
    <hyperlink r:id="rId26" ref="D16"/>
    <hyperlink r:id="rId27" ref="C17"/>
    <hyperlink r:id="rId28" ref="D17"/>
    <hyperlink r:id="rId29" ref="C19"/>
    <hyperlink r:id="rId30" ref="D19"/>
    <hyperlink r:id="rId31" ref="C20"/>
    <hyperlink r:id="rId32" ref="D20"/>
    <hyperlink r:id="rId33" ref="C21"/>
    <hyperlink r:id="rId34" ref="D21"/>
    <hyperlink r:id="rId35" ref="C22"/>
    <hyperlink r:id="rId36" ref="D22"/>
    <hyperlink r:id="rId37" ref="C23"/>
    <hyperlink r:id="rId38" ref="D23"/>
    <hyperlink r:id="rId39" ref="C24"/>
    <hyperlink r:id="rId40" ref="D24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11.63"/>
    <col customWidth="1" min="3" max="4" width="10.13"/>
    <col customWidth="1" min="5" max="5" width="15.13"/>
    <col customWidth="1" hidden="1" min="6" max="6" width="10.13"/>
    <col customWidth="1" min="7" max="7" width="10.13"/>
    <col customWidth="1" min="8" max="8" width="16.38"/>
    <col hidden="1" min="9" max="25" width="12.63"/>
  </cols>
  <sheetData>
    <row r="1" ht="52.5" customHeight="1">
      <c r="A1" s="1"/>
      <c r="B1" s="3" t="s">
        <v>209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210</v>
      </c>
      <c r="B2" s="57" t="s">
        <v>211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 t="s">
        <v>1</v>
      </c>
      <c r="B3" s="61" t="s">
        <v>212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65" t="b">
        <v>0</v>
      </c>
      <c r="B4" s="66" t="s">
        <v>213</v>
      </c>
      <c r="C4" s="87" t="s">
        <v>130</v>
      </c>
      <c r="D4" s="87" t="s">
        <v>130</v>
      </c>
      <c r="E4" s="68" t="s">
        <v>5</v>
      </c>
      <c r="F4" s="69">
        <f t="shared" ref="F4:F7" si="1">IF(E4="Not Relevant","",IF(E4="Good","",IF(E4="Bad",2,1)))+G4</f>
        <v>4</v>
      </c>
      <c r="G4" s="69">
        <v>3.0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71" t="b">
        <v>0</v>
      </c>
      <c r="B5" s="72" t="s">
        <v>214</v>
      </c>
      <c r="C5" s="84" t="s">
        <v>130</v>
      </c>
      <c r="D5" s="88" t="s">
        <v>130</v>
      </c>
      <c r="E5" s="73" t="s">
        <v>5</v>
      </c>
      <c r="F5" s="74">
        <f t="shared" si="1"/>
        <v>3</v>
      </c>
      <c r="G5" s="74">
        <v>2.0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71" t="b">
        <v>0</v>
      </c>
      <c r="B6" s="72" t="s">
        <v>215</v>
      </c>
      <c r="C6" s="84" t="s">
        <v>130</v>
      </c>
      <c r="D6" s="88" t="s">
        <v>130</v>
      </c>
      <c r="E6" s="73" t="s">
        <v>5</v>
      </c>
      <c r="F6" s="74">
        <f t="shared" si="1"/>
        <v>3</v>
      </c>
      <c r="G6" s="74">
        <v>2.0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75" customHeight="1">
      <c r="A7" s="71" t="b">
        <v>0</v>
      </c>
      <c r="B7" s="72" t="s">
        <v>216</v>
      </c>
      <c r="C7" s="84" t="s">
        <v>130</v>
      </c>
      <c r="D7" s="88" t="s">
        <v>130</v>
      </c>
      <c r="E7" s="73" t="s">
        <v>5</v>
      </c>
      <c r="F7" s="74">
        <f t="shared" si="1"/>
        <v>3</v>
      </c>
      <c r="G7" s="74">
        <v>2.0</v>
      </c>
      <c r="H7" s="70" t="str">
        <f>IFERROR(__xludf.DUMMYFUNCTION("SPARKLINE(F7,{""charttype"",""bar"";""max"",5;""min"",1;""color1"",""#180c56""})"),"")</f>
        <v/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22.5" customHeight="1">
      <c r="A8" s="60"/>
      <c r="B8" s="61" t="s">
        <v>217</v>
      </c>
      <c r="C8" s="62"/>
      <c r="D8" s="62"/>
      <c r="E8" s="62"/>
      <c r="F8" s="62"/>
      <c r="G8" s="62"/>
      <c r="H8" s="63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ht="18.75" customHeight="1">
      <c r="A9" s="71" t="b">
        <v>0</v>
      </c>
      <c r="B9" s="72" t="s">
        <v>218</v>
      </c>
      <c r="C9" s="84" t="s">
        <v>130</v>
      </c>
      <c r="D9" s="88" t="s">
        <v>130</v>
      </c>
      <c r="E9" s="73" t="s">
        <v>5</v>
      </c>
      <c r="F9" s="69">
        <f t="shared" ref="F9:F31" si="2">IF(E9="Not Relevant","",IF(E9="Good","",IF(E9="Bad",2,1)))+G9</f>
        <v>3</v>
      </c>
      <c r="G9" s="74">
        <v>2.0</v>
      </c>
      <c r="H9" s="75" t="str">
        <f>IFERROR(__xludf.DUMMYFUNCTION("SPARKLINE(F9,{""charttype"",""bar"";""max"",5;""min"",1;""color1"",""#180c56""})"),"")</f>
        <v/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75" customHeight="1">
      <c r="A10" s="71" t="b">
        <v>0</v>
      </c>
      <c r="B10" s="72" t="s">
        <v>219</v>
      </c>
      <c r="C10" s="84" t="s">
        <v>130</v>
      </c>
      <c r="D10" s="88" t="s">
        <v>130</v>
      </c>
      <c r="E10" s="73" t="s">
        <v>5</v>
      </c>
      <c r="F10" s="69">
        <f t="shared" si="2"/>
        <v>4</v>
      </c>
      <c r="G10" s="74">
        <v>3.0</v>
      </c>
      <c r="H10" s="75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71" t="b">
        <v>0</v>
      </c>
      <c r="B11" s="72" t="s">
        <v>220</v>
      </c>
      <c r="C11" s="84" t="s">
        <v>130</v>
      </c>
      <c r="D11" s="88" t="s">
        <v>130</v>
      </c>
      <c r="E11" s="73" t="s">
        <v>5</v>
      </c>
      <c r="F11" s="69">
        <f t="shared" si="2"/>
        <v>4</v>
      </c>
      <c r="G11" s="74">
        <v>3.0</v>
      </c>
      <c r="H11" s="75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71" t="b">
        <v>0</v>
      </c>
      <c r="B12" s="72" t="s">
        <v>221</v>
      </c>
      <c r="C12" s="84" t="s">
        <v>130</v>
      </c>
      <c r="D12" s="88" t="s">
        <v>130</v>
      </c>
      <c r="E12" s="73" t="s">
        <v>5</v>
      </c>
      <c r="F12" s="69">
        <f t="shared" si="2"/>
        <v>3</v>
      </c>
      <c r="G12" s="74">
        <v>2.0</v>
      </c>
      <c r="H12" s="75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75" customHeight="1">
      <c r="A13" s="71" t="b">
        <v>0</v>
      </c>
      <c r="B13" s="72" t="s">
        <v>222</v>
      </c>
      <c r="C13" s="84" t="s">
        <v>130</v>
      </c>
      <c r="D13" s="88" t="s">
        <v>130</v>
      </c>
      <c r="E13" s="73" t="s">
        <v>5</v>
      </c>
      <c r="F13" s="69">
        <f t="shared" si="2"/>
        <v>3</v>
      </c>
      <c r="G13" s="74">
        <v>2.0</v>
      </c>
      <c r="H13" s="75" t="str">
        <f>IFERROR(__xludf.DUMMYFUNCTION("SPARKLINE(F13,{""charttype"",""bar"";""max"",5;""min"",1;""color1"",""#180c56""})"),"")</f>
        <v/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75" customHeight="1">
      <c r="A14" s="71" t="b">
        <v>0</v>
      </c>
      <c r="B14" s="72" t="s">
        <v>223</v>
      </c>
      <c r="C14" s="84" t="s">
        <v>130</v>
      </c>
      <c r="D14" s="88" t="s">
        <v>130</v>
      </c>
      <c r="E14" s="73" t="s">
        <v>5</v>
      </c>
      <c r="F14" s="69">
        <f t="shared" si="2"/>
        <v>5</v>
      </c>
      <c r="G14" s="74">
        <v>4.0</v>
      </c>
      <c r="H14" s="75" t="str">
        <f>IFERROR(__xludf.DUMMYFUNCTION("SPARKLINE(F14,{""charttype"",""bar"";""max"",5;""min"",1;""color1"",""#180c56""})"),"")</f>
        <v/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71" t="b">
        <v>0</v>
      </c>
      <c r="B15" s="72" t="s">
        <v>224</v>
      </c>
      <c r="C15" s="84" t="s">
        <v>130</v>
      </c>
      <c r="D15" s="88" t="s">
        <v>130</v>
      </c>
      <c r="E15" s="73" t="s">
        <v>5</v>
      </c>
      <c r="F15" s="69">
        <f t="shared" si="2"/>
        <v>3</v>
      </c>
      <c r="G15" s="74">
        <v>2.0</v>
      </c>
      <c r="H15" s="75" t="str">
        <f>IFERROR(__xludf.DUMMYFUNCTION("SPARKLINE(F15,{""charttype"",""bar"";""max"",5;""min"",1;""color1"",""#180c56""})"),"")</f>
        <v/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75" customHeight="1">
      <c r="A16" s="71" t="b">
        <v>0</v>
      </c>
      <c r="B16" s="72" t="s">
        <v>225</v>
      </c>
      <c r="C16" s="84" t="s">
        <v>130</v>
      </c>
      <c r="D16" s="88" t="s">
        <v>130</v>
      </c>
      <c r="E16" s="73" t="s">
        <v>5</v>
      </c>
      <c r="F16" s="69">
        <f t="shared" si="2"/>
        <v>4</v>
      </c>
      <c r="G16" s="74">
        <v>3.0</v>
      </c>
      <c r="H16" s="75" t="str">
        <f>IFERROR(__xludf.DUMMYFUNCTION("SPARKLINE(F16,{""charttype"",""bar"";""max"",5;""min"",1;""color1"",""#180c56""})"),"")</f>
        <v/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75" customHeight="1">
      <c r="A17" s="71" t="b">
        <v>0</v>
      </c>
      <c r="B17" s="72" t="s">
        <v>226</v>
      </c>
      <c r="C17" s="84" t="s">
        <v>130</v>
      </c>
      <c r="D17" s="88" t="s">
        <v>130</v>
      </c>
      <c r="E17" s="73" t="s">
        <v>5</v>
      </c>
      <c r="F17" s="69">
        <f t="shared" si="2"/>
        <v>3</v>
      </c>
      <c r="G17" s="74">
        <v>2.0</v>
      </c>
      <c r="H17" s="75" t="str">
        <f>IFERROR(__xludf.DUMMYFUNCTION("SPARKLINE(F17,{""charttype"",""bar"";""max"",5;""min"",1;""color1"",""#180c56""})"),"")</f>
        <v/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75" customHeight="1">
      <c r="A18" s="71" t="b">
        <v>0</v>
      </c>
      <c r="B18" s="72" t="s">
        <v>227</v>
      </c>
      <c r="C18" s="84" t="s">
        <v>130</v>
      </c>
      <c r="D18" s="88" t="s">
        <v>130</v>
      </c>
      <c r="E18" s="73" t="s">
        <v>5</v>
      </c>
      <c r="F18" s="69">
        <f t="shared" si="2"/>
        <v>4</v>
      </c>
      <c r="G18" s="74">
        <v>3.0</v>
      </c>
      <c r="H18" s="75" t="str">
        <f>IFERROR(__xludf.DUMMYFUNCTION("SPARKLINE(F18,{""charttype"",""bar"";""max"",5;""min"",1;""color1"",""#180c56""})"),"")</f>
        <v/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75" customHeight="1">
      <c r="A19" s="71" t="b">
        <v>0</v>
      </c>
      <c r="B19" s="72" t="s">
        <v>228</v>
      </c>
      <c r="C19" s="84" t="s">
        <v>130</v>
      </c>
      <c r="D19" s="88" t="s">
        <v>130</v>
      </c>
      <c r="E19" s="73" t="s">
        <v>5</v>
      </c>
      <c r="F19" s="69">
        <f t="shared" si="2"/>
        <v>4</v>
      </c>
      <c r="G19" s="74">
        <v>3.0</v>
      </c>
      <c r="H19" s="75" t="str">
        <f>IFERROR(__xludf.DUMMYFUNCTION("SPARKLINE(F19,{""charttype"",""bar"";""max"",5;""min"",1;""color1"",""#180c56""})"),"")</f>
        <v/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71" t="b">
        <v>0</v>
      </c>
      <c r="B20" s="72" t="s">
        <v>229</v>
      </c>
      <c r="C20" s="84" t="s">
        <v>130</v>
      </c>
      <c r="D20" s="88" t="s">
        <v>130</v>
      </c>
      <c r="E20" s="73" t="s">
        <v>5</v>
      </c>
      <c r="F20" s="69">
        <f t="shared" si="2"/>
        <v>3</v>
      </c>
      <c r="G20" s="74">
        <v>2.0</v>
      </c>
      <c r="H20" s="75" t="str">
        <f>IFERROR(__xludf.DUMMYFUNCTION("SPARKLINE(F20,{""charttype"",""bar"";""max"",5;""min"",1;""color1"",""#180c56""})"),"")</f>
        <v/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71" t="b">
        <v>0</v>
      </c>
      <c r="B21" s="72" t="s">
        <v>230</v>
      </c>
      <c r="C21" s="84" t="s">
        <v>130</v>
      </c>
      <c r="D21" s="88" t="s">
        <v>130</v>
      </c>
      <c r="E21" s="73" t="s">
        <v>5</v>
      </c>
      <c r="F21" s="69">
        <f t="shared" si="2"/>
        <v>3</v>
      </c>
      <c r="G21" s="74">
        <v>2.0</v>
      </c>
      <c r="H21" s="75" t="str">
        <f>IFERROR(__xludf.DUMMYFUNCTION("SPARKLINE(F21,{""charttype"",""bar"";""max"",5;""min"",1;""color1"",""#180c56""})"),"")</f>
        <v/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71" t="b">
        <v>0</v>
      </c>
      <c r="B22" s="72" t="s">
        <v>231</v>
      </c>
      <c r="C22" s="84" t="s">
        <v>130</v>
      </c>
      <c r="D22" s="88" t="s">
        <v>130</v>
      </c>
      <c r="E22" s="73" t="s">
        <v>5</v>
      </c>
      <c r="F22" s="69">
        <f t="shared" si="2"/>
        <v>4</v>
      </c>
      <c r="G22" s="74">
        <v>3.0</v>
      </c>
      <c r="H22" s="75" t="str">
        <f>IFERROR(__xludf.DUMMYFUNCTION("SPARKLINE(F22,{""charttype"",""bar"";""max"",5;""min"",1;""color1"",""#180c56""})"),"")</f>
        <v/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71" t="b">
        <v>0</v>
      </c>
      <c r="B23" s="72" t="s">
        <v>232</v>
      </c>
      <c r="C23" s="84" t="s">
        <v>130</v>
      </c>
      <c r="D23" s="88" t="s">
        <v>130</v>
      </c>
      <c r="E23" s="73" t="s">
        <v>5</v>
      </c>
      <c r="F23" s="69">
        <f t="shared" si="2"/>
        <v>2</v>
      </c>
      <c r="G23" s="74">
        <v>1.0</v>
      </c>
      <c r="H23" s="75" t="str">
        <f>IFERROR(__xludf.DUMMYFUNCTION("SPARKLINE(F23,{""charttype"",""bar"";""max"",5;""min"",1;""color1"",""#180c56""})"),"")</f>
        <v/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71" t="b">
        <v>0</v>
      </c>
      <c r="B24" s="72" t="s">
        <v>233</v>
      </c>
      <c r="C24" s="84" t="s">
        <v>130</v>
      </c>
      <c r="D24" s="88" t="s">
        <v>130</v>
      </c>
      <c r="E24" s="73" t="s">
        <v>5</v>
      </c>
      <c r="F24" s="69">
        <f t="shared" si="2"/>
        <v>3</v>
      </c>
      <c r="G24" s="74">
        <v>2.0</v>
      </c>
      <c r="H24" s="75" t="str">
        <f>IFERROR(__xludf.DUMMYFUNCTION("SPARKLINE(F24,{""charttype"",""bar"";""max"",5;""min"",1;""color1"",""#180c56""})"),"")</f>
        <v/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75" customHeight="1">
      <c r="A25" s="71" t="b">
        <v>0</v>
      </c>
      <c r="B25" s="72" t="s">
        <v>234</v>
      </c>
      <c r="C25" s="84" t="s">
        <v>130</v>
      </c>
      <c r="D25" s="88" t="s">
        <v>130</v>
      </c>
      <c r="E25" s="73" t="s">
        <v>5</v>
      </c>
      <c r="F25" s="69">
        <f t="shared" si="2"/>
        <v>4</v>
      </c>
      <c r="G25" s="74">
        <v>3.0</v>
      </c>
      <c r="H25" s="75" t="str">
        <f>IFERROR(__xludf.DUMMYFUNCTION("SPARKLINE(F25,{""charttype"",""bar"";""max"",5;""min"",1;""color1"",""#180c56""})"),"")</f>
        <v/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75" customHeight="1">
      <c r="A26" s="71" t="b">
        <v>0</v>
      </c>
      <c r="B26" s="72" t="s">
        <v>235</v>
      </c>
      <c r="C26" s="84" t="s">
        <v>130</v>
      </c>
      <c r="D26" s="88" t="s">
        <v>130</v>
      </c>
      <c r="E26" s="73" t="s">
        <v>5</v>
      </c>
      <c r="F26" s="69">
        <f t="shared" si="2"/>
        <v>3</v>
      </c>
      <c r="G26" s="74">
        <v>2.0</v>
      </c>
      <c r="H26" s="75" t="str">
        <f>IFERROR(__xludf.DUMMYFUNCTION("SPARKLINE(F26,{""charttype"",""bar"";""max"",5;""min"",1;""color1"",""#180c56""})"),"")</f>
        <v/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75" customHeight="1">
      <c r="A27" s="71" t="b">
        <v>0</v>
      </c>
      <c r="B27" s="72" t="s">
        <v>236</v>
      </c>
      <c r="C27" s="84" t="s">
        <v>130</v>
      </c>
      <c r="D27" s="88" t="s">
        <v>130</v>
      </c>
      <c r="E27" s="73" t="s">
        <v>5</v>
      </c>
      <c r="F27" s="69">
        <f t="shared" si="2"/>
        <v>4</v>
      </c>
      <c r="G27" s="74">
        <v>3.0</v>
      </c>
      <c r="H27" s="75" t="str">
        <f>IFERROR(__xludf.DUMMYFUNCTION("SPARKLINE(F27,{""charttype"",""bar"";""max"",5;""min"",1;""color1"",""#180c56""})"),"")</f>
        <v/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75" customHeight="1">
      <c r="A28" s="71" t="b">
        <v>0</v>
      </c>
      <c r="B28" s="72" t="s">
        <v>237</v>
      </c>
      <c r="C28" s="84" t="s">
        <v>130</v>
      </c>
      <c r="D28" s="88" t="s">
        <v>130</v>
      </c>
      <c r="E28" s="73" t="s">
        <v>5</v>
      </c>
      <c r="F28" s="69">
        <f t="shared" si="2"/>
        <v>4</v>
      </c>
      <c r="G28" s="74">
        <v>3.0</v>
      </c>
      <c r="H28" s="75" t="str">
        <f>IFERROR(__xludf.DUMMYFUNCTION("SPARKLINE(F28,{""charttype"",""bar"";""max"",5;""min"",1;""color1"",""#180c56""})"),"")</f>
        <v/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71" t="b">
        <v>0</v>
      </c>
      <c r="B29" s="72" t="s">
        <v>238</v>
      </c>
      <c r="C29" s="84" t="s">
        <v>130</v>
      </c>
      <c r="D29" s="88" t="s">
        <v>130</v>
      </c>
      <c r="E29" s="73" t="s">
        <v>5</v>
      </c>
      <c r="F29" s="69">
        <f t="shared" si="2"/>
        <v>3</v>
      </c>
      <c r="G29" s="74">
        <v>2.0</v>
      </c>
      <c r="H29" s="75" t="str">
        <f>IFERROR(__xludf.DUMMYFUNCTION("SPARKLINE(F29,{""charttype"",""bar"";""max"",5;""min"",1;""color1"",""#180c56""})"),"")</f>
        <v/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75" customHeight="1">
      <c r="A30" s="71" t="b">
        <v>0</v>
      </c>
      <c r="B30" s="72" t="s">
        <v>239</v>
      </c>
      <c r="C30" s="84" t="s">
        <v>130</v>
      </c>
      <c r="D30" s="88" t="s">
        <v>130</v>
      </c>
      <c r="E30" s="73" t="s">
        <v>5</v>
      </c>
      <c r="F30" s="69">
        <f t="shared" si="2"/>
        <v>3</v>
      </c>
      <c r="G30" s="74">
        <v>2.0</v>
      </c>
      <c r="H30" s="75" t="str">
        <f>IFERROR(__xludf.DUMMYFUNCTION("SPARKLINE(F30,{""charttype"",""bar"";""max"",5;""min"",1;""color1"",""#180c56""})"),"")</f>
        <v/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75" customHeight="1">
      <c r="A31" s="71" t="b">
        <v>0</v>
      </c>
      <c r="B31" s="72" t="s">
        <v>240</v>
      </c>
      <c r="C31" s="84" t="s">
        <v>130</v>
      </c>
      <c r="D31" s="88" t="s">
        <v>130</v>
      </c>
      <c r="E31" s="73" t="s">
        <v>5</v>
      </c>
      <c r="F31" s="69">
        <f t="shared" si="2"/>
        <v>4</v>
      </c>
      <c r="G31" s="74">
        <v>3.0</v>
      </c>
      <c r="H31" s="75" t="str">
        <f>IFERROR(__xludf.DUMMYFUNCTION("SPARKLINE(F31,{""charttype"",""bar"";""max"",5;""min"",1;""color1"",""#180c56""})"),"")</f>
        <v/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22.5" customHeight="1">
      <c r="A32" s="89" t="s">
        <v>241</v>
      </c>
      <c r="B32" s="90" t="s">
        <v>242</v>
      </c>
      <c r="C32" s="62"/>
      <c r="D32" s="62"/>
      <c r="E32" s="62"/>
      <c r="F32" s="62"/>
      <c r="G32" s="62"/>
      <c r="H32" s="63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ht="18.75" customHeight="1">
      <c r="A33" s="71" t="b">
        <v>0</v>
      </c>
      <c r="B33" s="91" t="s">
        <v>243</v>
      </c>
      <c r="C33" s="76" t="s">
        <v>130</v>
      </c>
      <c r="D33" s="76" t="s">
        <v>130</v>
      </c>
      <c r="E33" s="73" t="s">
        <v>5</v>
      </c>
      <c r="F33" s="69">
        <f t="shared" ref="F33:F48" si="3">IF(E33="Not Relevant","",IF(E33="Good","",IF(E33="Bad",2,1)))+G33</f>
        <v>4</v>
      </c>
      <c r="G33" s="92">
        <v>3.0</v>
      </c>
      <c r="H33" s="75" t="str">
        <f>IFERROR(__xludf.DUMMYFUNCTION("SPARKLINE(F33,{""charttype"",""bar"";""max"",5;""min"",1;""color1"",""#180c56""})"),"")</f>
        <v/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75" customHeight="1">
      <c r="A34" s="71" t="b">
        <v>0</v>
      </c>
      <c r="B34" s="72" t="s">
        <v>244</v>
      </c>
      <c r="C34" s="76" t="s">
        <v>130</v>
      </c>
      <c r="D34" s="76" t="s">
        <v>130</v>
      </c>
      <c r="E34" s="73" t="s">
        <v>5</v>
      </c>
      <c r="F34" s="69">
        <f t="shared" si="3"/>
        <v>4</v>
      </c>
      <c r="G34" s="92">
        <v>3.0</v>
      </c>
      <c r="H34" s="75" t="str">
        <f>IFERROR(__xludf.DUMMYFUNCTION("SPARKLINE(F34,{""charttype"",""bar"";""max"",5;""min"",1;""color1"",""#180c56""})"),"")</f>
        <v/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75" customHeight="1">
      <c r="A35" s="71" t="b">
        <v>0</v>
      </c>
      <c r="B35" s="72" t="s">
        <v>245</v>
      </c>
      <c r="C35" s="76" t="s">
        <v>130</v>
      </c>
      <c r="D35" s="76" t="s">
        <v>130</v>
      </c>
      <c r="E35" s="73" t="s">
        <v>5</v>
      </c>
      <c r="F35" s="69">
        <f t="shared" si="3"/>
        <v>4</v>
      </c>
      <c r="G35" s="92">
        <v>3.0</v>
      </c>
      <c r="H35" s="75" t="str">
        <f>IFERROR(__xludf.DUMMYFUNCTION("SPARKLINE(F35,{""charttype"",""bar"";""max"",5;""min"",1;""color1"",""#180c56""})"),"")</f>
        <v/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71" t="b">
        <v>0</v>
      </c>
      <c r="B36" s="91" t="s">
        <v>246</v>
      </c>
      <c r="C36" s="76" t="s">
        <v>130</v>
      </c>
      <c r="D36" s="76" t="s">
        <v>130</v>
      </c>
      <c r="E36" s="73" t="s">
        <v>5</v>
      </c>
      <c r="F36" s="69">
        <f t="shared" si="3"/>
        <v>4</v>
      </c>
      <c r="G36" s="92">
        <v>3.0</v>
      </c>
      <c r="H36" s="75" t="str">
        <f>IFERROR(__xludf.DUMMYFUNCTION("SPARKLINE(F36,{""charttype"",""bar"";""max"",5;""min"",1;""color1"",""#180c56""})"),"")</f>
        <v/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71" t="b">
        <v>0</v>
      </c>
      <c r="B37" s="91" t="s">
        <v>247</v>
      </c>
      <c r="C37" s="76" t="s">
        <v>130</v>
      </c>
      <c r="D37" s="76" t="s">
        <v>130</v>
      </c>
      <c r="E37" s="73" t="s">
        <v>5</v>
      </c>
      <c r="F37" s="69">
        <f t="shared" si="3"/>
        <v>4</v>
      </c>
      <c r="G37" s="92">
        <v>3.0</v>
      </c>
      <c r="H37" s="75" t="str">
        <f>IFERROR(__xludf.DUMMYFUNCTION("SPARKLINE(F37,{""charttype"",""bar"";""max"",5;""min"",1;""color1"",""#180c56""})"),"")</f>
        <v/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71" t="b">
        <v>0</v>
      </c>
      <c r="B38" s="91" t="s">
        <v>248</v>
      </c>
      <c r="C38" s="76" t="s">
        <v>130</v>
      </c>
      <c r="D38" s="76" t="s">
        <v>130</v>
      </c>
      <c r="E38" s="73" t="s">
        <v>5</v>
      </c>
      <c r="F38" s="69">
        <f t="shared" si="3"/>
        <v>4</v>
      </c>
      <c r="G38" s="92">
        <v>3.0</v>
      </c>
      <c r="H38" s="75" t="str">
        <f>IFERROR(__xludf.DUMMYFUNCTION("SPARKLINE(F38,{""charttype"",""bar"";""max"",5;""min"",1;""color1"",""#180c56""})"),"")</f>
        <v/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75" customHeight="1">
      <c r="A39" s="71" t="b">
        <v>0</v>
      </c>
      <c r="B39" s="91" t="s">
        <v>249</v>
      </c>
      <c r="C39" s="76" t="s">
        <v>130</v>
      </c>
      <c r="D39" s="76" t="s">
        <v>130</v>
      </c>
      <c r="E39" s="73" t="s">
        <v>5</v>
      </c>
      <c r="F39" s="69">
        <f t="shared" si="3"/>
        <v>4</v>
      </c>
      <c r="G39" s="92">
        <v>3.0</v>
      </c>
      <c r="H39" s="75" t="str">
        <f>IFERROR(__xludf.DUMMYFUNCTION("SPARKLINE(F39,{""charttype"",""bar"";""max"",5;""min"",1;""color1"",""#180c56""})"),"")</f>
        <v/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75" customHeight="1">
      <c r="A40" s="71" t="b">
        <v>0</v>
      </c>
      <c r="B40" s="91" t="s">
        <v>250</v>
      </c>
      <c r="C40" s="76" t="s">
        <v>130</v>
      </c>
      <c r="D40" s="76" t="s">
        <v>130</v>
      </c>
      <c r="E40" s="73" t="s">
        <v>5</v>
      </c>
      <c r="F40" s="69">
        <f t="shared" si="3"/>
        <v>4</v>
      </c>
      <c r="G40" s="92">
        <v>3.0</v>
      </c>
      <c r="H40" s="75" t="str">
        <f>IFERROR(__xludf.DUMMYFUNCTION("SPARKLINE(F40,{""charttype"",""bar"";""max"",5;""min"",1;""color1"",""#180c56""})"),"")</f>
        <v/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71" t="b">
        <v>0</v>
      </c>
      <c r="B41" s="91" t="s">
        <v>251</v>
      </c>
      <c r="C41" s="76" t="s">
        <v>130</v>
      </c>
      <c r="D41" s="76" t="s">
        <v>130</v>
      </c>
      <c r="E41" s="73" t="s">
        <v>5</v>
      </c>
      <c r="F41" s="69">
        <f t="shared" si="3"/>
        <v>4</v>
      </c>
      <c r="G41" s="92">
        <v>3.0</v>
      </c>
      <c r="H41" s="75" t="str">
        <f>IFERROR(__xludf.DUMMYFUNCTION("SPARKLINE(F41,{""charttype"",""bar"";""max"",5;""min"",1;""color1"",""#180c56""})"),"")</f>
        <v/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71" t="b">
        <v>0</v>
      </c>
      <c r="B42" s="91" t="s">
        <v>252</v>
      </c>
      <c r="C42" s="76" t="s">
        <v>130</v>
      </c>
      <c r="D42" s="76" t="s">
        <v>130</v>
      </c>
      <c r="E42" s="73" t="s">
        <v>5</v>
      </c>
      <c r="F42" s="69">
        <f t="shared" si="3"/>
        <v>4</v>
      </c>
      <c r="G42" s="92">
        <v>3.0</v>
      </c>
      <c r="H42" s="75" t="str">
        <f>IFERROR(__xludf.DUMMYFUNCTION("SPARKLINE(F42,{""charttype"",""bar"";""max"",5;""min"",1;""color1"",""#180c56""})"),"")</f>
        <v/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71" t="b">
        <v>0</v>
      </c>
      <c r="B43" s="72" t="s">
        <v>253</v>
      </c>
      <c r="C43" s="76" t="s">
        <v>130</v>
      </c>
      <c r="D43" s="76" t="s">
        <v>130</v>
      </c>
      <c r="E43" s="73" t="s">
        <v>5</v>
      </c>
      <c r="F43" s="69">
        <f t="shared" si="3"/>
        <v>3</v>
      </c>
      <c r="G43" s="74">
        <v>2.0</v>
      </c>
      <c r="H43" s="75" t="str">
        <f>IFERROR(__xludf.DUMMYFUNCTION("SPARKLINE(F43,{""charttype"",""bar"";""max"",5;""min"",1;""color1"",""#180c56""})"),"")</f>
        <v/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71" t="b">
        <v>0</v>
      </c>
      <c r="B44" s="72" t="s">
        <v>254</v>
      </c>
      <c r="C44" s="76" t="s">
        <v>130</v>
      </c>
      <c r="D44" s="76" t="s">
        <v>130</v>
      </c>
      <c r="E44" s="73" t="s">
        <v>5</v>
      </c>
      <c r="F44" s="69">
        <f t="shared" si="3"/>
        <v>3</v>
      </c>
      <c r="G44" s="74">
        <v>2.0</v>
      </c>
      <c r="H44" s="75" t="str">
        <f>IFERROR(__xludf.DUMMYFUNCTION("SPARKLINE(F44,{""charttype"",""bar"";""max"",5;""min"",1;""color1"",""#180c56""})"),"")</f>
        <v/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71" t="b">
        <v>0</v>
      </c>
      <c r="B45" s="72" t="s">
        <v>255</v>
      </c>
      <c r="C45" s="76" t="s">
        <v>130</v>
      </c>
      <c r="D45" s="76" t="s">
        <v>130</v>
      </c>
      <c r="E45" s="73" t="s">
        <v>5</v>
      </c>
      <c r="F45" s="69">
        <f t="shared" si="3"/>
        <v>4</v>
      </c>
      <c r="G45" s="74">
        <v>3.0</v>
      </c>
      <c r="H45" s="75" t="str">
        <f>IFERROR(__xludf.DUMMYFUNCTION("SPARKLINE(F45,{""charttype"",""bar"";""max"",5;""min"",1;""color1"",""#180c56""})"),"")</f>
        <v/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71" t="b">
        <v>0</v>
      </c>
      <c r="B46" s="72" t="s">
        <v>256</v>
      </c>
      <c r="C46" s="76" t="s">
        <v>130</v>
      </c>
      <c r="D46" s="76" t="s">
        <v>130</v>
      </c>
      <c r="E46" s="73" t="s">
        <v>5</v>
      </c>
      <c r="F46" s="69">
        <f t="shared" si="3"/>
        <v>4</v>
      </c>
      <c r="G46" s="74">
        <v>3.0</v>
      </c>
      <c r="H46" s="75" t="str">
        <f>IFERROR(__xludf.DUMMYFUNCTION("SPARKLINE(F46,{""charttype"",""bar"";""max"",5;""min"",1;""color1"",""#180c56""})"),"")</f>
        <v/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71" t="b">
        <v>0</v>
      </c>
      <c r="B47" s="72" t="s">
        <v>257</v>
      </c>
      <c r="C47" s="76" t="s">
        <v>130</v>
      </c>
      <c r="D47" s="76" t="s">
        <v>130</v>
      </c>
      <c r="E47" s="73" t="s">
        <v>5</v>
      </c>
      <c r="F47" s="69">
        <f t="shared" si="3"/>
        <v>4</v>
      </c>
      <c r="G47" s="74">
        <v>3.0</v>
      </c>
      <c r="H47" s="75" t="str">
        <f>IFERROR(__xludf.DUMMYFUNCTION("SPARKLINE(F47,{""charttype"",""bar"";""max"",5;""min"",1;""color1"",""#180c56""})"),"")</f>
        <v/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71" t="b">
        <v>0</v>
      </c>
      <c r="B48" s="72" t="s">
        <v>258</v>
      </c>
      <c r="C48" s="76" t="s">
        <v>130</v>
      </c>
      <c r="D48" s="76" t="s">
        <v>130</v>
      </c>
      <c r="E48" s="73" t="s">
        <v>5</v>
      </c>
      <c r="F48" s="69">
        <f t="shared" si="3"/>
        <v>4</v>
      </c>
      <c r="G48" s="74">
        <v>3.0</v>
      </c>
      <c r="H48" s="75" t="str">
        <f>IFERROR(__xludf.DUMMYFUNCTION("SPARKLINE(F48,{""charttype"",""bar"";""max"",5;""min"",1;""color1"",""#180c56""})"),"")</f>
        <v/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22.5" customHeight="1">
      <c r="A49" s="60" t="s">
        <v>259</v>
      </c>
      <c r="B49" s="61" t="s">
        <v>260</v>
      </c>
      <c r="C49" s="62"/>
      <c r="D49" s="62"/>
      <c r="E49" s="62"/>
      <c r="F49" s="62"/>
      <c r="G49" s="62"/>
      <c r="H49" s="63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18.75" customHeight="1">
      <c r="A50" s="71" t="b">
        <v>0</v>
      </c>
      <c r="B50" s="72" t="s">
        <v>261</v>
      </c>
      <c r="C50" s="84" t="s">
        <v>130</v>
      </c>
      <c r="D50" s="88" t="s">
        <v>130</v>
      </c>
      <c r="E50" s="73" t="s">
        <v>5</v>
      </c>
      <c r="F50" s="69">
        <f t="shared" ref="F50:F57" si="4">IF(E50="Not Relevant","",IF(E50="Good","",IF(E50="Bad",2,1)))+G50</f>
        <v>4</v>
      </c>
      <c r="G50" s="74">
        <v>3.0</v>
      </c>
      <c r="H50" s="75" t="str">
        <f>IFERROR(__xludf.DUMMYFUNCTION("SPARKLINE(F50,{""charttype"",""bar"";""max"",5;""min"",1;""color1"",""#180c56""})"),"")</f>
        <v/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75" customHeight="1">
      <c r="A51" s="71" t="b">
        <v>0</v>
      </c>
      <c r="B51" s="72" t="s">
        <v>262</v>
      </c>
      <c r="C51" s="84" t="s">
        <v>130</v>
      </c>
      <c r="D51" s="88" t="s">
        <v>130</v>
      </c>
      <c r="E51" s="73" t="s">
        <v>5</v>
      </c>
      <c r="F51" s="69">
        <f t="shared" si="4"/>
        <v>4</v>
      </c>
      <c r="G51" s="74">
        <v>3.0</v>
      </c>
      <c r="H51" s="75" t="str">
        <f>IFERROR(__xludf.DUMMYFUNCTION("SPARKLINE(F51,{""charttype"",""bar"";""max"",5;""min"",1;""color1"",""#180c56""})"),"")</f>
        <v/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71" t="b">
        <v>0</v>
      </c>
      <c r="B52" s="72" t="s">
        <v>263</v>
      </c>
      <c r="C52" s="84" t="s">
        <v>130</v>
      </c>
      <c r="D52" s="88" t="s">
        <v>130</v>
      </c>
      <c r="E52" s="73" t="s">
        <v>5</v>
      </c>
      <c r="F52" s="69">
        <f t="shared" si="4"/>
        <v>4</v>
      </c>
      <c r="G52" s="74">
        <v>3.0</v>
      </c>
      <c r="H52" s="75" t="str">
        <f>IFERROR(__xludf.DUMMYFUNCTION("SPARKLINE(F52,{""charttype"",""bar"";""max"",5;""min"",1;""color1"",""#180c56""})"),"")</f>
        <v/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71" t="b">
        <v>0</v>
      </c>
      <c r="B53" s="72" t="s">
        <v>264</v>
      </c>
      <c r="C53" s="84" t="s">
        <v>130</v>
      </c>
      <c r="D53" s="88" t="s">
        <v>130</v>
      </c>
      <c r="E53" s="73" t="s">
        <v>5</v>
      </c>
      <c r="F53" s="69">
        <f t="shared" si="4"/>
        <v>4</v>
      </c>
      <c r="G53" s="74">
        <v>3.0</v>
      </c>
      <c r="H53" s="75" t="str">
        <f>IFERROR(__xludf.DUMMYFUNCTION("SPARKLINE(F53,{""charttype"",""bar"";""max"",5;""min"",1;""color1"",""#180c56""})"),"")</f>
        <v/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71" t="b">
        <v>0</v>
      </c>
      <c r="B54" s="72" t="s">
        <v>265</v>
      </c>
      <c r="C54" s="84" t="s">
        <v>130</v>
      </c>
      <c r="D54" s="88" t="s">
        <v>130</v>
      </c>
      <c r="E54" s="73" t="s">
        <v>5</v>
      </c>
      <c r="F54" s="69">
        <f t="shared" si="4"/>
        <v>4</v>
      </c>
      <c r="G54" s="74">
        <v>3.0</v>
      </c>
      <c r="H54" s="75" t="str">
        <f>IFERROR(__xludf.DUMMYFUNCTION("SPARKLINE(F54,{""charttype"",""bar"";""max"",5;""min"",1;""color1"",""#180c56""})"),"")</f>
        <v/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71" t="b">
        <v>0</v>
      </c>
      <c r="B55" s="72" t="s">
        <v>266</v>
      </c>
      <c r="C55" s="84" t="s">
        <v>130</v>
      </c>
      <c r="D55" s="88" t="s">
        <v>130</v>
      </c>
      <c r="E55" s="73" t="s">
        <v>5</v>
      </c>
      <c r="F55" s="69">
        <f t="shared" si="4"/>
        <v>4</v>
      </c>
      <c r="G55" s="74">
        <v>3.0</v>
      </c>
      <c r="H55" s="75" t="str">
        <f>IFERROR(__xludf.DUMMYFUNCTION("SPARKLINE(F55,{""charttype"",""bar"";""max"",5;""min"",1;""color1"",""#180c56""})"),"")</f>
        <v/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71" t="b">
        <v>0</v>
      </c>
      <c r="B56" s="72" t="s">
        <v>267</v>
      </c>
      <c r="C56" s="84" t="s">
        <v>130</v>
      </c>
      <c r="D56" s="88" t="s">
        <v>130</v>
      </c>
      <c r="E56" s="73" t="s">
        <v>5</v>
      </c>
      <c r="F56" s="69">
        <f t="shared" si="4"/>
        <v>4</v>
      </c>
      <c r="G56" s="74">
        <v>3.0</v>
      </c>
      <c r="H56" s="75" t="str">
        <f>IFERROR(__xludf.DUMMYFUNCTION("SPARKLINE(F56,{""charttype"",""bar"";""max"",5;""min"",1;""color1"",""#180c56""})"),"")</f>
        <v/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71" t="b">
        <v>0</v>
      </c>
      <c r="B57" s="72" t="s">
        <v>268</v>
      </c>
      <c r="C57" s="84" t="s">
        <v>130</v>
      </c>
      <c r="D57" s="88" t="s">
        <v>130</v>
      </c>
      <c r="E57" s="73" t="s">
        <v>5</v>
      </c>
      <c r="F57" s="69">
        <f t="shared" si="4"/>
        <v>4</v>
      </c>
      <c r="G57" s="74">
        <v>3.0</v>
      </c>
      <c r="H57" s="75" t="str">
        <f>IFERROR(__xludf.DUMMYFUNCTION("SPARKLINE(F57,{""charttype"",""bar"";""max"",5;""min"",1;""color1"",""#180c56""})"),"")</f>
        <v/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22.5" customHeight="1">
      <c r="A58" s="60" t="s">
        <v>269</v>
      </c>
      <c r="B58" s="61" t="s">
        <v>270</v>
      </c>
      <c r="C58" s="62"/>
      <c r="D58" s="62"/>
      <c r="E58" s="62"/>
      <c r="F58" s="62"/>
      <c r="G58" s="62"/>
      <c r="H58" s="63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ht="18.75" customHeight="1">
      <c r="A59" s="71" t="b">
        <v>0</v>
      </c>
      <c r="B59" s="72" t="s">
        <v>271</v>
      </c>
      <c r="C59" s="84" t="s">
        <v>130</v>
      </c>
      <c r="D59" s="88" t="s">
        <v>130</v>
      </c>
      <c r="E59" s="73" t="s">
        <v>5</v>
      </c>
      <c r="F59" s="74">
        <f t="shared" ref="F59:F67" si="5">IF(E59="Not Relevant","",IF(E59="Good","",IF(E59="Bad",2,1)))+G59</f>
        <v>4</v>
      </c>
      <c r="G59" s="74">
        <v>3.0</v>
      </c>
      <c r="H59" s="75" t="str">
        <f>IFERROR(__xludf.DUMMYFUNCTION("SPARKLINE(F59,{""charttype"",""bar"";""max"",5;""min"",1;""color1"",""#180c56""})"),"")</f>
        <v/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75" customHeight="1">
      <c r="A60" s="71" t="b">
        <v>0</v>
      </c>
      <c r="B60" s="72" t="s">
        <v>272</v>
      </c>
      <c r="C60" s="84" t="s">
        <v>130</v>
      </c>
      <c r="D60" s="88" t="s">
        <v>130</v>
      </c>
      <c r="E60" s="73" t="s">
        <v>5</v>
      </c>
      <c r="F60" s="74">
        <f t="shared" si="5"/>
        <v>4</v>
      </c>
      <c r="G60" s="74">
        <v>3.0</v>
      </c>
      <c r="H60" s="75" t="str">
        <f>IFERROR(__xludf.DUMMYFUNCTION("SPARKLINE(F60,{""charttype"",""bar"";""max"",5;""min"",1;""color1"",""#180c56""})"),"")</f>
        <v/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71" t="b">
        <v>0</v>
      </c>
      <c r="B61" s="72" t="s">
        <v>273</v>
      </c>
      <c r="C61" s="84" t="s">
        <v>130</v>
      </c>
      <c r="D61" s="88" t="s">
        <v>130</v>
      </c>
      <c r="E61" s="73" t="s">
        <v>5</v>
      </c>
      <c r="F61" s="74">
        <f t="shared" si="5"/>
        <v>4</v>
      </c>
      <c r="G61" s="74">
        <v>3.0</v>
      </c>
      <c r="H61" s="75" t="str">
        <f>IFERROR(__xludf.DUMMYFUNCTION("SPARKLINE(F61,{""charttype"",""bar"";""max"",5;""min"",1;""color1"",""#180c56""})"),"")</f>
        <v/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71" t="b">
        <v>0</v>
      </c>
      <c r="B62" s="72" t="s">
        <v>274</v>
      </c>
      <c r="C62" s="84" t="s">
        <v>130</v>
      </c>
      <c r="D62" s="88" t="s">
        <v>130</v>
      </c>
      <c r="E62" s="73" t="s">
        <v>5</v>
      </c>
      <c r="F62" s="74">
        <f t="shared" si="5"/>
        <v>4</v>
      </c>
      <c r="G62" s="74">
        <v>3.0</v>
      </c>
      <c r="H62" s="75" t="str">
        <f>IFERROR(__xludf.DUMMYFUNCTION("SPARKLINE(F62,{""charttype"",""bar"";""max"",5;""min"",1;""color1"",""#180c56""})"),"")</f>
        <v/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71" t="b">
        <v>0</v>
      </c>
      <c r="B63" s="72" t="s">
        <v>275</v>
      </c>
      <c r="C63" s="84" t="s">
        <v>130</v>
      </c>
      <c r="D63" s="88" t="s">
        <v>130</v>
      </c>
      <c r="E63" s="73" t="s">
        <v>5</v>
      </c>
      <c r="F63" s="74">
        <f t="shared" si="5"/>
        <v>4</v>
      </c>
      <c r="G63" s="74">
        <v>3.0</v>
      </c>
      <c r="H63" s="75" t="str">
        <f>IFERROR(__xludf.DUMMYFUNCTION("SPARKLINE(F63,{""charttype"",""bar"";""max"",5;""min"",1;""color1"",""#180c56""})"),"")</f>
        <v/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71" t="b">
        <v>0</v>
      </c>
      <c r="B64" s="72" t="s">
        <v>276</v>
      </c>
      <c r="C64" s="84" t="s">
        <v>130</v>
      </c>
      <c r="D64" s="88" t="s">
        <v>130</v>
      </c>
      <c r="E64" s="73" t="s">
        <v>5</v>
      </c>
      <c r="F64" s="74">
        <f t="shared" si="5"/>
        <v>4</v>
      </c>
      <c r="G64" s="74">
        <v>3.0</v>
      </c>
      <c r="H64" s="75" t="str">
        <f>IFERROR(__xludf.DUMMYFUNCTION("SPARKLINE(F64,{""charttype"",""bar"";""max"",5;""min"",1;""color1"",""#180c56""})"),"")</f>
        <v/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71" t="b">
        <v>0</v>
      </c>
      <c r="B65" s="72" t="s">
        <v>277</v>
      </c>
      <c r="C65" s="84" t="s">
        <v>130</v>
      </c>
      <c r="D65" s="88" t="s">
        <v>130</v>
      </c>
      <c r="E65" s="73" t="s">
        <v>5</v>
      </c>
      <c r="F65" s="74">
        <f t="shared" si="5"/>
        <v>4</v>
      </c>
      <c r="G65" s="74">
        <v>3.0</v>
      </c>
      <c r="H65" s="75" t="str">
        <f>IFERROR(__xludf.DUMMYFUNCTION("SPARKLINE(F65,{""charttype"",""bar"";""max"",5;""min"",1;""color1"",""#180c56""})"),"")</f>
        <v/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71" t="b">
        <v>0</v>
      </c>
      <c r="B66" s="72" t="s">
        <v>278</v>
      </c>
      <c r="C66" s="84" t="s">
        <v>130</v>
      </c>
      <c r="D66" s="88" t="s">
        <v>130</v>
      </c>
      <c r="E66" s="73" t="s">
        <v>5</v>
      </c>
      <c r="F66" s="74">
        <f t="shared" si="5"/>
        <v>4</v>
      </c>
      <c r="G66" s="74">
        <v>3.0</v>
      </c>
      <c r="H66" s="75" t="str">
        <f>IFERROR(__xludf.DUMMYFUNCTION("SPARKLINE(F66,{""charttype"",""bar"";""max"",5;""min"",1;""color1"",""#180c56""})"),"")</f>
        <v/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71" t="b">
        <v>0</v>
      </c>
      <c r="B67" s="72" t="s">
        <v>279</v>
      </c>
      <c r="C67" s="84" t="s">
        <v>130</v>
      </c>
      <c r="D67" s="88" t="s">
        <v>130</v>
      </c>
      <c r="E67" s="73" t="s">
        <v>5</v>
      </c>
      <c r="F67" s="74">
        <f t="shared" si="5"/>
        <v>4</v>
      </c>
      <c r="G67" s="74">
        <v>3.0</v>
      </c>
      <c r="H67" s="75" t="str">
        <f>IFERROR(__xludf.DUMMYFUNCTION("SPARKLINE(F67,{""charttype"",""bar"";""max"",5;""min"",1;""color1"",""#180c56""})"),"")</f>
        <v/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22.5" customHeight="1">
      <c r="A68" s="60" t="s">
        <v>241</v>
      </c>
      <c r="B68" s="61" t="s">
        <v>242</v>
      </c>
      <c r="C68" s="62"/>
      <c r="D68" s="62"/>
      <c r="E68" s="62"/>
      <c r="F68" s="62"/>
      <c r="G68" s="62"/>
      <c r="H68" s="63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18.75" customHeight="1">
      <c r="A69" s="71" t="b">
        <v>0</v>
      </c>
      <c r="B69" s="72" t="s">
        <v>244</v>
      </c>
      <c r="C69" s="84" t="s">
        <v>130</v>
      </c>
      <c r="D69" s="88" t="s">
        <v>130</v>
      </c>
      <c r="E69" s="73" t="s">
        <v>5</v>
      </c>
      <c r="F69" s="74">
        <f t="shared" ref="F69:F78" si="6">IF(E69="Not Relevant","",IF(E69="Good","",IF(E69="Bad",2,1)))+G69</f>
        <v>4</v>
      </c>
      <c r="G69" s="74">
        <v>3.0</v>
      </c>
      <c r="H69" s="75" t="str">
        <f>IFERROR(__xludf.DUMMYFUNCTION("SPARKLINE(F69,{""charttype"",""bar"";""max"",5;""min"",1;""color1"",""#180c56""})"),"")</f>
        <v/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71" t="b">
        <v>0</v>
      </c>
      <c r="B70" s="72" t="s">
        <v>280</v>
      </c>
      <c r="C70" s="84" t="s">
        <v>130</v>
      </c>
      <c r="D70" s="88" t="s">
        <v>130</v>
      </c>
      <c r="E70" s="73" t="s">
        <v>5</v>
      </c>
      <c r="F70" s="74">
        <f t="shared" si="6"/>
        <v>4</v>
      </c>
      <c r="G70" s="74">
        <v>3.0</v>
      </c>
      <c r="H70" s="75" t="str">
        <f>IFERROR(__xludf.DUMMYFUNCTION("SPARKLINE(F70,{""charttype"",""bar"";""max"",5;""min"",1;""color1"",""#180c56""})"),"")</f>
        <v/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71" t="b">
        <v>0</v>
      </c>
      <c r="B71" s="72" t="s">
        <v>281</v>
      </c>
      <c r="C71" s="84" t="s">
        <v>130</v>
      </c>
      <c r="D71" s="88" t="s">
        <v>130</v>
      </c>
      <c r="E71" s="73" t="s">
        <v>5</v>
      </c>
      <c r="F71" s="74">
        <f t="shared" si="6"/>
        <v>4</v>
      </c>
      <c r="G71" s="74">
        <v>3.0</v>
      </c>
      <c r="H71" s="75" t="str">
        <f>IFERROR(__xludf.DUMMYFUNCTION("SPARKLINE(F71,{""charttype"",""bar"";""max"",5;""min"",1;""color1"",""#180c56""})"),"")</f>
        <v/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71" t="b">
        <v>0</v>
      </c>
      <c r="B72" s="72" t="s">
        <v>246</v>
      </c>
      <c r="C72" s="84" t="s">
        <v>130</v>
      </c>
      <c r="D72" s="88" t="s">
        <v>130</v>
      </c>
      <c r="E72" s="73" t="s">
        <v>5</v>
      </c>
      <c r="F72" s="74">
        <f t="shared" si="6"/>
        <v>4</v>
      </c>
      <c r="G72" s="74">
        <v>3.0</v>
      </c>
      <c r="H72" s="75" t="str">
        <f>IFERROR(__xludf.DUMMYFUNCTION("SPARKLINE(F72,{""charttype"",""bar"";""max"",5;""min"",1;""color1"",""#180c56""})"),"")</f>
        <v/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71" t="b">
        <v>0</v>
      </c>
      <c r="B73" s="72" t="s">
        <v>247</v>
      </c>
      <c r="C73" s="84" t="s">
        <v>130</v>
      </c>
      <c r="D73" s="88" t="s">
        <v>130</v>
      </c>
      <c r="E73" s="73" t="s">
        <v>5</v>
      </c>
      <c r="F73" s="74">
        <f t="shared" si="6"/>
        <v>4</v>
      </c>
      <c r="G73" s="74">
        <v>3.0</v>
      </c>
      <c r="H73" s="75" t="str">
        <f>IFERROR(__xludf.DUMMYFUNCTION("SPARKLINE(F73,{""charttype"",""bar"";""max"",5;""min"",1;""color1"",""#180c56""})"),"")</f>
        <v/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71" t="b">
        <v>0</v>
      </c>
      <c r="B74" s="72" t="s">
        <v>248</v>
      </c>
      <c r="C74" s="84" t="s">
        <v>130</v>
      </c>
      <c r="D74" s="88" t="s">
        <v>130</v>
      </c>
      <c r="E74" s="73" t="s">
        <v>5</v>
      </c>
      <c r="F74" s="74">
        <f t="shared" si="6"/>
        <v>4</v>
      </c>
      <c r="G74" s="74">
        <v>3.0</v>
      </c>
      <c r="H74" s="75" t="str">
        <f>IFERROR(__xludf.DUMMYFUNCTION("SPARKLINE(F74,{""charttype"",""bar"";""max"",5;""min"",1;""color1"",""#180c56""})"),"")</f>
        <v/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71" t="b">
        <v>0</v>
      </c>
      <c r="B75" s="72" t="s">
        <v>249</v>
      </c>
      <c r="C75" s="84" t="s">
        <v>130</v>
      </c>
      <c r="D75" s="88" t="s">
        <v>130</v>
      </c>
      <c r="E75" s="73" t="s">
        <v>5</v>
      </c>
      <c r="F75" s="74">
        <f t="shared" si="6"/>
        <v>4</v>
      </c>
      <c r="G75" s="74">
        <v>3.0</v>
      </c>
      <c r="H75" s="75" t="str">
        <f>IFERROR(__xludf.DUMMYFUNCTION("SPARKLINE(F75,{""charttype"",""bar"";""max"",5;""min"",1;""color1"",""#180c56""})"),"")</f>
        <v/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71" t="b">
        <v>0</v>
      </c>
      <c r="B76" s="72" t="s">
        <v>250</v>
      </c>
      <c r="C76" s="84" t="s">
        <v>130</v>
      </c>
      <c r="D76" s="88" t="s">
        <v>130</v>
      </c>
      <c r="E76" s="73" t="s">
        <v>5</v>
      </c>
      <c r="F76" s="74">
        <f t="shared" si="6"/>
        <v>4</v>
      </c>
      <c r="G76" s="74">
        <v>3.0</v>
      </c>
      <c r="H76" s="75" t="str">
        <f>IFERROR(__xludf.DUMMYFUNCTION("SPARKLINE(F76,{""charttype"",""bar"";""max"",5;""min"",1;""color1"",""#180c56""})"),"")</f>
        <v/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71" t="b">
        <v>0</v>
      </c>
      <c r="B77" s="72" t="s">
        <v>282</v>
      </c>
      <c r="C77" s="84" t="s">
        <v>130</v>
      </c>
      <c r="D77" s="88" t="s">
        <v>130</v>
      </c>
      <c r="E77" s="73" t="s">
        <v>5</v>
      </c>
      <c r="F77" s="74">
        <f t="shared" si="6"/>
        <v>4</v>
      </c>
      <c r="G77" s="74">
        <v>3.0</v>
      </c>
      <c r="H77" s="75" t="str">
        <f>IFERROR(__xludf.DUMMYFUNCTION("SPARKLINE(F77,{""charttype"",""bar"";""max"",5;""min"",1;""color1"",""#180c56""})"),"")</f>
        <v/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77" t="b">
        <v>0</v>
      </c>
      <c r="B78" s="78" t="s">
        <v>252</v>
      </c>
      <c r="C78" s="84" t="s">
        <v>130</v>
      </c>
      <c r="D78" s="88" t="s">
        <v>130</v>
      </c>
      <c r="E78" s="80" t="s">
        <v>5</v>
      </c>
      <c r="F78" s="81">
        <f t="shared" si="6"/>
        <v>4</v>
      </c>
      <c r="G78" s="81">
        <v>3.0</v>
      </c>
      <c r="H78" s="82" t="str">
        <f>IFERROR(__xludf.DUMMYFUNCTION("SPARKLINE(F78,{""charttype"",""bar"";""max"",5;""min"",1;""color1"",""#180c56""})"),"")</f>
        <v/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8.75" customHeight="1">
      <c r="A960" s="37"/>
      <c r="B960" s="83"/>
      <c r="C960" s="37"/>
      <c r="D960" s="37"/>
      <c r="E960" s="37"/>
      <c r="F960" s="37"/>
      <c r="G960" s="3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8.75" customHeight="1">
      <c r="A961" s="37"/>
      <c r="B961" s="83"/>
      <c r="C961" s="37"/>
      <c r="D961" s="37"/>
      <c r="E961" s="37"/>
      <c r="F961" s="37"/>
      <c r="G961" s="3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8.75" customHeight="1">
      <c r="A962" s="37"/>
      <c r="B962" s="83"/>
      <c r="C962" s="37"/>
      <c r="D962" s="37"/>
      <c r="E962" s="37"/>
      <c r="F962" s="37"/>
      <c r="G962" s="3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8.75" customHeight="1">
      <c r="A963" s="37"/>
      <c r="B963" s="83"/>
      <c r="C963" s="37"/>
      <c r="D963" s="37"/>
      <c r="E963" s="37"/>
      <c r="F963" s="37"/>
      <c r="G963" s="3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8.75" customHeight="1">
      <c r="A964" s="37"/>
      <c r="B964" s="83"/>
      <c r="C964" s="37"/>
      <c r="D964" s="37"/>
      <c r="E964" s="37"/>
      <c r="F964" s="37"/>
      <c r="G964" s="3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8.75" customHeight="1">
      <c r="A965" s="37"/>
      <c r="B965" s="83"/>
      <c r="C965" s="37"/>
      <c r="D965" s="37"/>
      <c r="E965" s="37"/>
      <c r="F965" s="37"/>
      <c r="G965" s="3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8.75" customHeight="1">
      <c r="A966" s="37"/>
      <c r="B966" s="83"/>
      <c r="C966" s="37"/>
      <c r="D966" s="37"/>
      <c r="E966" s="37"/>
      <c r="F966" s="37"/>
      <c r="G966" s="3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8.75" customHeight="1">
      <c r="A967" s="37"/>
      <c r="B967" s="83"/>
      <c r="C967" s="37"/>
      <c r="D967" s="37"/>
      <c r="E967" s="37"/>
      <c r="F967" s="37"/>
      <c r="G967" s="3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8.75" customHeight="1">
      <c r="A968" s="37"/>
      <c r="B968" s="83"/>
      <c r="C968" s="37"/>
      <c r="D968" s="37"/>
      <c r="E968" s="37"/>
      <c r="F968" s="37"/>
      <c r="G968" s="3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8.75" customHeight="1">
      <c r="A969" s="37"/>
      <c r="B969" s="83"/>
      <c r="C969" s="37"/>
      <c r="D969" s="37"/>
      <c r="E969" s="37"/>
      <c r="F969" s="37"/>
      <c r="G969" s="3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8.75" customHeight="1">
      <c r="A970" s="37"/>
      <c r="B970" s="83"/>
      <c r="C970" s="37"/>
      <c r="D970" s="37"/>
      <c r="E970" s="37"/>
      <c r="F970" s="37"/>
      <c r="G970" s="3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8.75" customHeight="1">
      <c r="A971" s="37"/>
      <c r="B971" s="83"/>
      <c r="C971" s="37"/>
      <c r="D971" s="37"/>
      <c r="E971" s="37"/>
      <c r="F971" s="37"/>
      <c r="G971" s="3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8.75" customHeight="1">
      <c r="A972" s="37"/>
      <c r="B972" s="83"/>
      <c r="C972" s="37"/>
      <c r="D972" s="37"/>
      <c r="E972" s="37"/>
      <c r="F972" s="37"/>
      <c r="G972" s="37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8.75" customHeight="1">
      <c r="A973" s="37"/>
      <c r="B973" s="83"/>
      <c r="C973" s="37"/>
      <c r="D973" s="37"/>
      <c r="E973" s="37"/>
      <c r="F973" s="37"/>
      <c r="G973" s="37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8.75" customHeight="1">
      <c r="A974" s="37"/>
      <c r="B974" s="83"/>
      <c r="C974" s="37"/>
      <c r="D974" s="37"/>
      <c r="E974" s="37"/>
      <c r="F974" s="37"/>
      <c r="G974" s="37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8.75" customHeight="1">
      <c r="A975" s="37"/>
      <c r="B975" s="83"/>
      <c r="C975" s="37"/>
      <c r="D975" s="37"/>
      <c r="E975" s="37"/>
      <c r="F975" s="37"/>
      <c r="G975" s="37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8.75" customHeight="1">
      <c r="A976" s="37"/>
      <c r="B976" s="83"/>
      <c r="C976" s="37"/>
      <c r="D976" s="37"/>
      <c r="E976" s="37"/>
      <c r="F976" s="37"/>
      <c r="G976" s="37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8.75" customHeight="1">
      <c r="A977" s="37"/>
      <c r="B977" s="83"/>
      <c r="C977" s="37"/>
      <c r="D977" s="37"/>
      <c r="E977" s="37"/>
      <c r="F977" s="37"/>
      <c r="G977" s="37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8.75" customHeight="1">
      <c r="A978" s="37"/>
      <c r="B978" s="83"/>
      <c r="C978" s="37"/>
      <c r="D978" s="37"/>
      <c r="E978" s="37"/>
      <c r="F978" s="37"/>
      <c r="G978" s="37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8.75" customHeight="1">
      <c r="A979" s="37"/>
      <c r="B979" s="83"/>
      <c r="C979" s="37"/>
      <c r="D979" s="37"/>
      <c r="E979" s="37"/>
      <c r="F979" s="37"/>
      <c r="G979" s="37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8.75" customHeight="1">
      <c r="A980" s="37"/>
      <c r="B980" s="83"/>
      <c r="C980" s="37"/>
      <c r="D980" s="37"/>
      <c r="E980" s="37"/>
      <c r="F980" s="37"/>
      <c r="G980" s="37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8.75" customHeight="1">
      <c r="A981" s="37"/>
      <c r="B981" s="83"/>
      <c r="C981" s="37"/>
      <c r="D981" s="37"/>
      <c r="E981" s="37"/>
      <c r="F981" s="37"/>
      <c r="G981" s="37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8.75" customHeight="1">
      <c r="A982" s="37"/>
      <c r="B982" s="83"/>
      <c r="C982" s="37"/>
      <c r="D982" s="37"/>
      <c r="E982" s="37"/>
      <c r="F982" s="37"/>
      <c r="G982" s="37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8.75" customHeight="1">
      <c r="A983" s="37"/>
      <c r="B983" s="83"/>
      <c r="C983" s="37"/>
      <c r="D983" s="37"/>
      <c r="E983" s="37"/>
      <c r="F983" s="37"/>
      <c r="G983" s="37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8.75" customHeight="1">
      <c r="A984" s="37"/>
      <c r="B984" s="83"/>
      <c r="C984" s="37"/>
      <c r="D984" s="37"/>
      <c r="E984" s="37"/>
      <c r="F984" s="37"/>
      <c r="G984" s="37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8.75" customHeight="1">
      <c r="A985" s="37"/>
      <c r="B985" s="83"/>
      <c r="C985" s="37"/>
      <c r="D985" s="37"/>
      <c r="E985" s="37"/>
      <c r="F985" s="37"/>
      <c r="G985" s="37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8.75" customHeight="1">
      <c r="A986" s="37"/>
      <c r="B986" s="83"/>
      <c r="C986" s="37"/>
      <c r="D986" s="37"/>
      <c r="E986" s="37"/>
      <c r="F986" s="37"/>
      <c r="G986" s="37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8.75" customHeight="1">
      <c r="A987" s="37"/>
      <c r="B987" s="83"/>
      <c r="C987" s="37"/>
      <c r="D987" s="37"/>
      <c r="E987" s="37"/>
      <c r="F987" s="37"/>
      <c r="G987" s="37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8.75" customHeight="1">
      <c r="A988" s="37"/>
      <c r="B988" s="83"/>
      <c r="C988" s="37"/>
      <c r="D988" s="37"/>
      <c r="E988" s="37"/>
      <c r="F988" s="37"/>
      <c r="G988" s="37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8.75" customHeight="1">
      <c r="A989" s="37"/>
      <c r="B989" s="83"/>
      <c r="C989" s="37"/>
      <c r="D989" s="37"/>
      <c r="E989" s="37"/>
      <c r="F989" s="37"/>
      <c r="G989" s="37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8.75" customHeight="1">
      <c r="A990" s="37"/>
      <c r="B990" s="83"/>
      <c r="C990" s="37"/>
      <c r="D990" s="37"/>
      <c r="E990" s="37"/>
      <c r="F990" s="37"/>
      <c r="G990" s="37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8.75" customHeight="1">
      <c r="A991" s="37"/>
      <c r="B991" s="83"/>
      <c r="C991" s="37"/>
      <c r="D991" s="37"/>
      <c r="E991" s="37"/>
      <c r="F991" s="37"/>
      <c r="G991" s="37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8.75" customHeight="1">
      <c r="A992" s="37"/>
      <c r="B992" s="83"/>
      <c r="C992" s="37"/>
      <c r="D992" s="37"/>
      <c r="E992" s="37"/>
      <c r="F992" s="37"/>
      <c r="G992" s="37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8.75" customHeight="1">
      <c r="A993" s="37"/>
      <c r="B993" s="83"/>
      <c r="C993" s="37"/>
      <c r="D993" s="37"/>
      <c r="E993" s="37"/>
      <c r="F993" s="37"/>
      <c r="G993" s="37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8.75" customHeight="1">
      <c r="A994" s="37"/>
      <c r="B994" s="83"/>
      <c r="C994" s="37"/>
      <c r="D994" s="37"/>
      <c r="E994" s="37"/>
      <c r="F994" s="37"/>
      <c r="G994" s="37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8.75" customHeight="1">
      <c r="A995" s="37"/>
      <c r="B995" s="83"/>
      <c r="C995" s="37"/>
      <c r="D995" s="37"/>
      <c r="E995" s="37"/>
      <c r="F995" s="37"/>
      <c r="G995" s="37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8.75" customHeight="1">
      <c r="A996" s="37"/>
      <c r="B996" s="83"/>
      <c r="C996" s="37"/>
      <c r="D996" s="37"/>
      <c r="E996" s="37"/>
      <c r="F996" s="37"/>
      <c r="G996" s="37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8.75" customHeight="1">
      <c r="A997" s="37"/>
      <c r="B997" s="83"/>
      <c r="C997" s="37"/>
      <c r="D997" s="37"/>
      <c r="E997" s="37"/>
      <c r="F997" s="37"/>
      <c r="G997" s="37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8.75" customHeight="1">
      <c r="A998" s="37"/>
      <c r="B998" s="83"/>
      <c r="C998" s="37"/>
      <c r="D998" s="37"/>
      <c r="E998" s="37"/>
      <c r="F998" s="37"/>
      <c r="G998" s="37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8.75" customHeight="1">
      <c r="A999" s="37"/>
      <c r="B999" s="83"/>
      <c r="C999" s="37"/>
      <c r="D999" s="37"/>
      <c r="E999" s="37"/>
      <c r="F999" s="37"/>
      <c r="G999" s="37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8.75" customHeight="1">
      <c r="A1000" s="37"/>
      <c r="B1000" s="83"/>
      <c r="C1000" s="37"/>
      <c r="D1000" s="37"/>
      <c r="E1000" s="37"/>
      <c r="F1000" s="37"/>
      <c r="G1000" s="37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 ht="18.75" customHeight="1">
      <c r="A1001" s="37"/>
      <c r="B1001" s="83"/>
      <c r="C1001" s="37"/>
      <c r="D1001" s="37"/>
      <c r="E1001" s="37"/>
      <c r="F1001" s="37"/>
      <c r="G1001" s="37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 ht="18.75" customHeight="1">
      <c r="A1002" s="37"/>
      <c r="B1002" s="83"/>
      <c r="C1002" s="37"/>
      <c r="D1002" s="37"/>
      <c r="E1002" s="37"/>
      <c r="F1002" s="37"/>
      <c r="G1002" s="37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 ht="18.75" customHeight="1">
      <c r="A1003" s="37"/>
      <c r="B1003" s="83"/>
      <c r="C1003" s="37"/>
      <c r="D1003" s="37"/>
      <c r="E1003" s="37"/>
      <c r="F1003" s="37"/>
      <c r="G1003" s="37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</row>
    <row r="1004" ht="18.75" customHeight="1">
      <c r="A1004" s="37"/>
      <c r="B1004" s="83"/>
      <c r="C1004" s="37"/>
      <c r="D1004" s="37"/>
      <c r="E1004" s="37"/>
      <c r="F1004" s="37"/>
      <c r="G1004" s="37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</row>
    <row r="1005" ht="18.75" customHeight="1">
      <c r="A1005" s="37"/>
      <c r="B1005" s="83"/>
      <c r="C1005" s="37"/>
      <c r="D1005" s="37"/>
      <c r="E1005" s="37"/>
      <c r="F1005" s="37"/>
      <c r="G1005" s="37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</row>
    <row r="1006" ht="18.75" customHeight="1">
      <c r="A1006" s="37"/>
      <c r="B1006" s="83"/>
      <c r="C1006" s="37"/>
      <c r="D1006" s="37"/>
      <c r="E1006" s="37"/>
      <c r="F1006" s="37"/>
      <c r="G1006" s="37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</row>
    <row r="1007" ht="18.75" customHeight="1">
      <c r="A1007" s="37"/>
      <c r="B1007" s="83"/>
      <c r="C1007" s="37"/>
      <c r="D1007" s="37"/>
      <c r="E1007" s="37"/>
      <c r="F1007" s="37"/>
      <c r="G1007" s="37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</row>
    <row r="1008" ht="18.75" customHeight="1">
      <c r="A1008" s="37"/>
      <c r="B1008" s="83"/>
      <c r="C1008" s="37"/>
      <c r="D1008" s="37"/>
      <c r="E1008" s="37"/>
      <c r="F1008" s="37"/>
      <c r="G1008" s="37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</row>
    <row r="1009" ht="18.75" customHeight="1">
      <c r="A1009" s="37"/>
      <c r="B1009" s="83"/>
      <c r="C1009" s="37"/>
      <c r="D1009" s="37"/>
      <c r="E1009" s="37"/>
      <c r="F1009" s="37"/>
      <c r="G1009" s="37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</row>
    <row r="1010" ht="18.75" customHeight="1">
      <c r="A1010" s="37"/>
      <c r="B1010" s="83"/>
      <c r="C1010" s="37"/>
      <c r="D1010" s="37"/>
      <c r="E1010" s="37"/>
      <c r="F1010" s="37"/>
      <c r="G1010" s="37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</row>
    <row r="1011" ht="18.75" customHeight="1">
      <c r="A1011" s="37"/>
      <c r="B1011" s="83"/>
      <c r="C1011" s="37"/>
      <c r="D1011" s="37"/>
      <c r="E1011" s="37"/>
      <c r="F1011" s="37"/>
      <c r="G1011" s="37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</row>
    <row r="1012" ht="18.75" customHeight="1">
      <c r="A1012" s="37"/>
      <c r="B1012" s="83"/>
      <c r="C1012" s="37"/>
      <c r="D1012" s="37"/>
      <c r="E1012" s="37"/>
      <c r="F1012" s="37"/>
      <c r="G1012" s="37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</row>
    <row r="1013" ht="18.75" customHeight="1">
      <c r="A1013" s="37"/>
      <c r="B1013" s="83"/>
      <c r="C1013" s="37"/>
      <c r="D1013" s="37"/>
      <c r="E1013" s="37"/>
      <c r="F1013" s="37"/>
      <c r="G1013" s="37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</row>
    <row r="1014" ht="18.75" customHeight="1">
      <c r="A1014" s="37"/>
      <c r="B1014" s="83"/>
      <c r="C1014" s="37"/>
      <c r="D1014" s="37"/>
      <c r="E1014" s="37"/>
      <c r="F1014" s="37"/>
      <c r="G1014" s="37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</row>
    <row r="1015" ht="18.75" customHeight="1">
      <c r="A1015" s="37"/>
      <c r="B1015" s="83"/>
      <c r="C1015" s="37"/>
      <c r="D1015" s="37"/>
      <c r="E1015" s="37"/>
      <c r="F1015" s="37"/>
      <c r="G1015" s="37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</row>
    <row r="1016" ht="18.75" customHeight="1">
      <c r="A1016" s="37"/>
      <c r="B1016" s="83"/>
      <c r="C1016" s="37"/>
      <c r="D1016" s="37"/>
      <c r="E1016" s="37"/>
      <c r="F1016" s="37"/>
      <c r="G1016" s="37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</row>
    <row r="1017" ht="18.75" customHeight="1">
      <c r="A1017" s="37"/>
      <c r="B1017" s="83"/>
      <c r="C1017" s="37"/>
      <c r="D1017" s="37"/>
      <c r="E1017" s="37"/>
      <c r="F1017" s="37"/>
      <c r="G1017" s="37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</row>
    <row r="1018" ht="18.75" customHeight="1">
      <c r="A1018" s="37"/>
      <c r="B1018" s="83"/>
      <c r="C1018" s="37"/>
      <c r="D1018" s="37"/>
      <c r="E1018" s="37"/>
      <c r="F1018" s="37"/>
      <c r="G1018" s="37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</row>
    <row r="1019" ht="18.75" customHeight="1">
      <c r="A1019" s="37"/>
      <c r="B1019" s="83"/>
      <c r="C1019" s="37"/>
      <c r="D1019" s="37"/>
      <c r="E1019" s="37"/>
      <c r="F1019" s="37"/>
      <c r="G1019" s="37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</row>
    <row r="1020" ht="18.75" customHeight="1">
      <c r="A1020" s="37"/>
      <c r="B1020" s="83"/>
      <c r="C1020" s="37"/>
      <c r="D1020" s="37"/>
      <c r="E1020" s="37"/>
      <c r="F1020" s="37"/>
      <c r="G1020" s="37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 ht="18.75" customHeight="1">
      <c r="A1021" s="37"/>
      <c r="B1021" s="83"/>
      <c r="C1021" s="37"/>
      <c r="D1021" s="37"/>
      <c r="E1021" s="37"/>
      <c r="F1021" s="37"/>
      <c r="G1021" s="37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</row>
    <row r="1022" ht="18.75" customHeight="1">
      <c r="A1022" s="37"/>
      <c r="B1022" s="83"/>
      <c r="C1022" s="37"/>
      <c r="D1022" s="37"/>
      <c r="E1022" s="37"/>
      <c r="F1022" s="37"/>
      <c r="G1022" s="37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</row>
    <row r="1023" ht="18.75" customHeight="1">
      <c r="A1023" s="37"/>
      <c r="B1023" s="83"/>
      <c r="C1023" s="37"/>
      <c r="D1023" s="37"/>
      <c r="E1023" s="37"/>
      <c r="F1023" s="37"/>
      <c r="G1023" s="37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</row>
    <row r="1024" ht="18.75" customHeight="1">
      <c r="A1024" s="37"/>
      <c r="B1024" s="83"/>
      <c r="C1024" s="37"/>
      <c r="D1024" s="37"/>
      <c r="E1024" s="37"/>
      <c r="F1024" s="37"/>
      <c r="G1024" s="37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</row>
    <row r="1025" ht="18.75" customHeight="1">
      <c r="A1025" s="37"/>
      <c r="B1025" s="83"/>
      <c r="C1025" s="37"/>
      <c r="D1025" s="37"/>
      <c r="E1025" s="37"/>
      <c r="F1025" s="37"/>
      <c r="G1025" s="37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</row>
  </sheetData>
  <conditionalFormatting sqref="B3:B78">
    <cfRule type="expression" dxfId="2" priority="1">
      <formula>$A3=TRUE</formula>
    </cfRule>
  </conditionalFormatting>
  <conditionalFormatting sqref="A3:H78">
    <cfRule type="expression" dxfId="0" priority="2">
      <formula>$A3=TRUE</formula>
    </cfRule>
  </conditionalFormatting>
  <conditionalFormatting sqref="E3:E78">
    <cfRule type="cellIs" dxfId="3" priority="3" operator="equal">
      <formula>"Done"</formula>
    </cfRule>
  </conditionalFormatting>
  <conditionalFormatting sqref="E3:E78">
    <cfRule type="cellIs" dxfId="4" priority="4" operator="equal">
      <formula>"Can be Improved"</formula>
    </cfRule>
  </conditionalFormatting>
  <conditionalFormatting sqref="E3:E78">
    <cfRule type="cellIs" dxfId="5" priority="5" operator="equal">
      <formula>"To Do"</formula>
    </cfRule>
  </conditionalFormatting>
  <conditionalFormatting sqref="A3:H78">
    <cfRule type="expression" dxfId="1" priority="6">
      <formula>OR($E3="Done",$E3="Irrelevant")</formula>
    </cfRule>
  </conditionalFormatting>
  <dataValidations>
    <dataValidation type="list" allowBlank="1" sqref="E4:E7 E9:E31 E33:E48 E50:E57 E59:E67 E69:E78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7"/>
    <hyperlink r:id="rId8" ref="D7"/>
    <hyperlink r:id="rId9" ref="C9"/>
    <hyperlink r:id="rId10" ref="D9"/>
    <hyperlink r:id="rId11" ref="C10"/>
    <hyperlink r:id="rId12" ref="D10"/>
    <hyperlink r:id="rId13" ref="C11"/>
    <hyperlink r:id="rId14" ref="D11"/>
    <hyperlink r:id="rId15" ref="C12"/>
    <hyperlink r:id="rId16" ref="D12"/>
    <hyperlink r:id="rId17" ref="C13"/>
    <hyperlink r:id="rId18" ref="D13"/>
    <hyperlink r:id="rId19" ref="C14"/>
    <hyperlink r:id="rId20" ref="D14"/>
    <hyperlink r:id="rId21" ref="C15"/>
    <hyperlink r:id="rId22" ref="D15"/>
    <hyperlink r:id="rId23" ref="C16"/>
    <hyperlink r:id="rId24" ref="D16"/>
    <hyperlink r:id="rId25" ref="C17"/>
    <hyperlink r:id="rId26" ref="D17"/>
    <hyperlink r:id="rId27" ref="C18"/>
    <hyperlink r:id="rId28" ref="D18"/>
    <hyperlink r:id="rId29" ref="C19"/>
    <hyperlink r:id="rId30" ref="D19"/>
    <hyperlink r:id="rId31" ref="C20"/>
    <hyperlink r:id="rId32" ref="D20"/>
    <hyperlink r:id="rId33" ref="C21"/>
    <hyperlink r:id="rId34" ref="D21"/>
    <hyperlink r:id="rId35" ref="C22"/>
    <hyperlink r:id="rId36" ref="D22"/>
    <hyperlink r:id="rId37" ref="C23"/>
    <hyperlink r:id="rId38" ref="D23"/>
    <hyperlink r:id="rId39" ref="C24"/>
    <hyperlink r:id="rId40" ref="D24"/>
    <hyperlink r:id="rId41" ref="C25"/>
    <hyperlink r:id="rId42" ref="D25"/>
    <hyperlink r:id="rId43" ref="C26"/>
    <hyperlink r:id="rId44" ref="D26"/>
    <hyperlink r:id="rId45" ref="C27"/>
    <hyperlink r:id="rId46" ref="D27"/>
    <hyperlink r:id="rId47" ref="C28"/>
    <hyperlink r:id="rId48" ref="D28"/>
    <hyperlink r:id="rId49" ref="C29"/>
    <hyperlink r:id="rId50" ref="D29"/>
    <hyperlink r:id="rId51" ref="C30"/>
    <hyperlink r:id="rId52" ref="D30"/>
    <hyperlink r:id="rId53" ref="C31"/>
    <hyperlink r:id="rId54" ref="D31"/>
    <hyperlink r:id="rId55" ref="C33"/>
    <hyperlink r:id="rId56" ref="D33"/>
    <hyperlink r:id="rId57" ref="C34"/>
    <hyperlink r:id="rId58" ref="D34"/>
    <hyperlink r:id="rId59" ref="C35"/>
    <hyperlink r:id="rId60" ref="D35"/>
    <hyperlink r:id="rId61" ref="C36"/>
    <hyperlink r:id="rId62" ref="D36"/>
    <hyperlink r:id="rId63" ref="C37"/>
    <hyperlink r:id="rId64" ref="D37"/>
    <hyperlink r:id="rId65" ref="C38"/>
    <hyperlink r:id="rId66" ref="D38"/>
    <hyperlink r:id="rId67" ref="C39"/>
    <hyperlink r:id="rId68" ref="D39"/>
    <hyperlink r:id="rId69" ref="C40"/>
    <hyperlink r:id="rId70" ref="D40"/>
    <hyperlink r:id="rId71" ref="C41"/>
    <hyperlink r:id="rId72" ref="D41"/>
    <hyperlink r:id="rId73" ref="C42"/>
    <hyperlink r:id="rId74" ref="D42"/>
    <hyperlink r:id="rId75" ref="C43"/>
    <hyperlink r:id="rId76" ref="D43"/>
    <hyperlink r:id="rId77" ref="C44"/>
    <hyperlink r:id="rId78" ref="D44"/>
    <hyperlink r:id="rId79" ref="C45"/>
    <hyperlink r:id="rId80" ref="D45"/>
    <hyperlink r:id="rId81" ref="C46"/>
    <hyperlink r:id="rId82" ref="D46"/>
    <hyperlink r:id="rId83" ref="C47"/>
    <hyperlink r:id="rId84" ref="D47"/>
    <hyperlink r:id="rId85" ref="C48"/>
    <hyperlink r:id="rId86" ref="D48"/>
    <hyperlink r:id="rId87" ref="C50"/>
    <hyperlink r:id="rId88" ref="D50"/>
    <hyperlink r:id="rId89" ref="C51"/>
    <hyperlink r:id="rId90" ref="D51"/>
    <hyperlink r:id="rId91" ref="C52"/>
    <hyperlink r:id="rId92" ref="D52"/>
    <hyperlink r:id="rId93" ref="C53"/>
    <hyperlink r:id="rId94" ref="D53"/>
    <hyperlink r:id="rId95" ref="C54"/>
    <hyperlink r:id="rId96" ref="D54"/>
    <hyperlink r:id="rId97" ref="C55"/>
    <hyperlink r:id="rId98" ref="D55"/>
    <hyperlink r:id="rId99" ref="C56"/>
    <hyperlink r:id="rId100" ref="D56"/>
    <hyperlink r:id="rId101" ref="C57"/>
    <hyperlink r:id="rId102" ref="D57"/>
    <hyperlink r:id="rId103" ref="C59"/>
    <hyperlink r:id="rId104" ref="D59"/>
    <hyperlink r:id="rId105" ref="C60"/>
    <hyperlink r:id="rId106" ref="D60"/>
    <hyperlink r:id="rId107" ref="C61"/>
    <hyperlink r:id="rId108" ref="D61"/>
    <hyperlink r:id="rId109" ref="C62"/>
    <hyperlink r:id="rId110" ref="D62"/>
    <hyperlink r:id="rId111" ref="C63"/>
    <hyperlink r:id="rId112" ref="D63"/>
    <hyperlink r:id="rId113" ref="C64"/>
    <hyperlink r:id="rId114" ref="D64"/>
    <hyperlink r:id="rId115" ref="C65"/>
    <hyperlink r:id="rId116" ref="D65"/>
    <hyperlink r:id="rId117" ref="C66"/>
    <hyperlink r:id="rId118" ref="D66"/>
    <hyperlink r:id="rId119" ref="C67"/>
    <hyperlink r:id="rId120" ref="D67"/>
    <hyperlink r:id="rId121" ref="C69"/>
    <hyperlink r:id="rId122" ref="D69"/>
    <hyperlink r:id="rId123" ref="C70"/>
    <hyperlink r:id="rId124" ref="D70"/>
    <hyperlink r:id="rId125" ref="C71"/>
    <hyperlink r:id="rId126" ref="D71"/>
    <hyperlink r:id="rId127" ref="C72"/>
    <hyperlink r:id="rId128" ref="D72"/>
    <hyperlink r:id="rId129" ref="C73"/>
    <hyperlink r:id="rId130" ref="D73"/>
    <hyperlink r:id="rId131" ref="C74"/>
    <hyperlink r:id="rId132" ref="D74"/>
    <hyperlink r:id="rId133" ref="C75"/>
    <hyperlink r:id="rId134" ref="D75"/>
    <hyperlink r:id="rId135" ref="C76"/>
    <hyperlink r:id="rId136" ref="D76"/>
    <hyperlink r:id="rId137" ref="C77"/>
    <hyperlink r:id="rId138" ref="D77"/>
    <hyperlink r:id="rId139" ref="C78"/>
    <hyperlink r:id="rId140" ref="D78"/>
  </hyperlinks>
  <drawing r:id="rId1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11.63"/>
    <col customWidth="1" min="3" max="4" width="10.13"/>
    <col customWidth="1" min="5" max="5" width="15.13"/>
    <col customWidth="1" hidden="1" min="6" max="6" width="10.13"/>
    <col customWidth="1" min="7" max="7" width="10.13"/>
    <col customWidth="1" min="8" max="8" width="16.38"/>
    <col hidden="1" min="9" max="25" width="12.63"/>
  </cols>
  <sheetData>
    <row r="1" ht="52.5" customHeight="1">
      <c r="A1" s="1"/>
      <c r="B1" s="3" t="s">
        <v>283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284</v>
      </c>
      <c r="B2" s="57" t="s">
        <v>285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/>
      <c r="B3" s="61" t="s">
        <v>286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71" t="b">
        <v>0</v>
      </c>
      <c r="B4" s="66" t="s">
        <v>287</v>
      </c>
      <c r="C4" s="84" t="s">
        <v>130</v>
      </c>
      <c r="D4" s="84" t="s">
        <v>130</v>
      </c>
      <c r="E4" s="68" t="s">
        <v>5</v>
      </c>
      <c r="F4" s="69">
        <f t="shared" ref="F4:F15" si="1">IF(E4="Not Relevant","",IF(E4="Good","",IF(E4="Bad",2,1)))+G4</f>
        <v>4</v>
      </c>
      <c r="G4" s="69">
        <v>3.0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71" t="b">
        <v>0</v>
      </c>
      <c r="B5" s="72" t="s">
        <v>288</v>
      </c>
      <c r="C5" s="84" t="s">
        <v>130</v>
      </c>
      <c r="D5" s="84" t="s">
        <v>130</v>
      </c>
      <c r="E5" s="73" t="s">
        <v>5</v>
      </c>
      <c r="F5" s="74">
        <f t="shared" si="1"/>
        <v>4</v>
      </c>
      <c r="G5" s="74">
        <v>3.0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71" t="b">
        <v>1</v>
      </c>
      <c r="B6" s="72" t="s">
        <v>289</v>
      </c>
      <c r="C6" s="84" t="s">
        <v>130</v>
      </c>
      <c r="D6" s="84" t="s">
        <v>130</v>
      </c>
      <c r="E6" s="73" t="s">
        <v>5</v>
      </c>
      <c r="F6" s="74">
        <f t="shared" si="1"/>
        <v>3</v>
      </c>
      <c r="G6" s="74">
        <v>2.0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75" customHeight="1">
      <c r="A7" s="71" t="b">
        <v>0</v>
      </c>
      <c r="B7" s="72" t="s">
        <v>290</v>
      </c>
      <c r="C7" s="84" t="s">
        <v>130</v>
      </c>
      <c r="D7" s="84" t="s">
        <v>130</v>
      </c>
      <c r="E7" s="73" t="s">
        <v>5</v>
      </c>
      <c r="F7" s="74">
        <f t="shared" si="1"/>
        <v>3</v>
      </c>
      <c r="G7" s="74">
        <v>2.0</v>
      </c>
      <c r="H7" s="70" t="str">
        <f>IFERROR(__xludf.DUMMYFUNCTION("SPARKLINE(F7,{""charttype"",""bar"";""max"",5;""min"",1;""color1"",""#180c56""})"),"")</f>
        <v/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75" customHeight="1">
      <c r="A8" s="71" t="b">
        <v>0</v>
      </c>
      <c r="B8" s="72" t="s">
        <v>291</v>
      </c>
      <c r="C8" s="84" t="s">
        <v>130</v>
      </c>
      <c r="D8" s="84" t="s">
        <v>130</v>
      </c>
      <c r="E8" s="73" t="s">
        <v>5</v>
      </c>
      <c r="F8" s="74">
        <f t="shared" si="1"/>
        <v>3</v>
      </c>
      <c r="G8" s="74">
        <v>2.0</v>
      </c>
      <c r="H8" s="70" t="str">
        <f>IFERROR(__xludf.DUMMYFUNCTION("SPARKLINE(F8,{""charttype"",""bar"";""max"",5;""min"",1;""color1"",""#180c56""})"),"")</f>
        <v/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75" customHeight="1">
      <c r="A9" s="71" t="b">
        <v>0</v>
      </c>
      <c r="B9" s="72" t="s">
        <v>292</v>
      </c>
      <c r="C9" s="84" t="s">
        <v>130</v>
      </c>
      <c r="D9" s="84" t="s">
        <v>130</v>
      </c>
      <c r="E9" s="73" t="s">
        <v>5</v>
      </c>
      <c r="F9" s="74">
        <f t="shared" si="1"/>
        <v>3</v>
      </c>
      <c r="G9" s="74">
        <v>2.0</v>
      </c>
      <c r="H9" s="70" t="str">
        <f>IFERROR(__xludf.DUMMYFUNCTION("SPARKLINE(F9,{""charttype"",""bar"";""max"",5;""min"",1;""color1"",""#180c56""})"),"")</f>
        <v/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75" customHeight="1">
      <c r="A10" s="71" t="b">
        <v>0</v>
      </c>
      <c r="B10" s="72" t="s">
        <v>293</v>
      </c>
      <c r="C10" s="84" t="s">
        <v>130</v>
      </c>
      <c r="D10" s="84" t="s">
        <v>130</v>
      </c>
      <c r="E10" s="73" t="s">
        <v>5</v>
      </c>
      <c r="F10" s="74">
        <f t="shared" si="1"/>
        <v>3</v>
      </c>
      <c r="G10" s="74">
        <v>2.0</v>
      </c>
      <c r="H10" s="70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71" t="b">
        <v>0</v>
      </c>
      <c r="B11" s="72" t="s">
        <v>294</v>
      </c>
      <c r="C11" s="84" t="s">
        <v>130</v>
      </c>
      <c r="D11" s="84" t="s">
        <v>130</v>
      </c>
      <c r="E11" s="73" t="s">
        <v>5</v>
      </c>
      <c r="F11" s="74">
        <f t="shared" si="1"/>
        <v>3</v>
      </c>
      <c r="G11" s="74">
        <v>2.0</v>
      </c>
      <c r="H11" s="70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71" t="b">
        <v>0</v>
      </c>
      <c r="B12" s="72" t="s">
        <v>295</v>
      </c>
      <c r="C12" s="84" t="s">
        <v>130</v>
      </c>
      <c r="D12" s="84" t="s">
        <v>130</v>
      </c>
      <c r="E12" s="73" t="s">
        <v>5</v>
      </c>
      <c r="F12" s="74">
        <f t="shared" si="1"/>
        <v>3</v>
      </c>
      <c r="G12" s="74">
        <v>2.0</v>
      </c>
      <c r="H12" s="70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75" customHeight="1">
      <c r="A13" s="71" t="b">
        <v>0</v>
      </c>
      <c r="B13" s="72" t="s">
        <v>296</v>
      </c>
      <c r="C13" s="84" t="s">
        <v>130</v>
      </c>
      <c r="D13" s="84" t="s">
        <v>130</v>
      </c>
      <c r="E13" s="73" t="s">
        <v>5</v>
      </c>
      <c r="F13" s="74">
        <f t="shared" si="1"/>
        <v>3</v>
      </c>
      <c r="G13" s="74">
        <v>2.0</v>
      </c>
      <c r="H13" s="70" t="str">
        <f>IFERROR(__xludf.DUMMYFUNCTION("SPARKLINE(F13,{""charttype"",""bar"";""max"",5;""min"",1;""color1"",""#180c56""})"),"")</f>
        <v/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75" customHeight="1">
      <c r="A14" s="71" t="b">
        <v>0</v>
      </c>
      <c r="B14" s="72" t="s">
        <v>297</v>
      </c>
      <c r="C14" s="84" t="s">
        <v>130</v>
      </c>
      <c r="D14" s="84" t="s">
        <v>130</v>
      </c>
      <c r="E14" s="73" t="s">
        <v>5</v>
      </c>
      <c r="F14" s="74">
        <f t="shared" si="1"/>
        <v>3</v>
      </c>
      <c r="G14" s="74">
        <v>2.0</v>
      </c>
      <c r="H14" s="70" t="str">
        <f>IFERROR(__xludf.DUMMYFUNCTION("SPARKLINE(F14,{""charttype"",""bar"";""max"",5;""min"",1;""color1"",""#180c56""})"),"")</f>
        <v/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71" t="b">
        <v>0</v>
      </c>
      <c r="B15" s="72" t="s">
        <v>298</v>
      </c>
      <c r="C15" s="84" t="s">
        <v>130</v>
      </c>
      <c r="D15" s="84" t="s">
        <v>130</v>
      </c>
      <c r="E15" s="73" t="s">
        <v>5</v>
      </c>
      <c r="F15" s="74">
        <f t="shared" si="1"/>
        <v>3</v>
      </c>
      <c r="G15" s="74">
        <v>2.0</v>
      </c>
      <c r="H15" s="70" t="str">
        <f>IFERROR(__xludf.DUMMYFUNCTION("SPARKLINE(F15,{""charttype"",""bar"";""max"",5;""min"",1;""color1"",""#180c56""})"),"")</f>
        <v/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22.5" customHeight="1">
      <c r="A16" s="60"/>
      <c r="B16" s="61" t="s">
        <v>299</v>
      </c>
      <c r="C16" s="62"/>
      <c r="D16" s="62"/>
      <c r="E16" s="62"/>
      <c r="F16" s="62"/>
      <c r="G16" s="62"/>
      <c r="H16" s="63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ht="18.75" customHeight="1">
      <c r="A17" s="71" t="b">
        <v>0</v>
      </c>
      <c r="B17" s="72" t="s">
        <v>300</v>
      </c>
      <c r="C17" s="76" t="s">
        <v>130</v>
      </c>
      <c r="D17" s="76" t="s">
        <v>130</v>
      </c>
      <c r="E17" s="73" t="s">
        <v>5</v>
      </c>
      <c r="F17" s="69">
        <f t="shared" ref="F17:F26" si="2">IF(E17="Not Relevant","",IF(E17="Good","",IF(E17="Bad",2,1)))+G17</f>
        <v>3</v>
      </c>
      <c r="G17" s="74">
        <v>2.0</v>
      </c>
      <c r="H17" s="75" t="str">
        <f>IFERROR(__xludf.DUMMYFUNCTION("SPARKLINE(F17,{""charttype"",""bar"";""max"",5;""min"",1;""color1"",""#180c56""})"),"")</f>
        <v/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75" customHeight="1">
      <c r="A18" s="71" t="b">
        <v>0</v>
      </c>
      <c r="B18" s="72" t="s">
        <v>301</v>
      </c>
      <c r="C18" s="84" t="s">
        <v>130</v>
      </c>
      <c r="D18" s="84" t="s">
        <v>130</v>
      </c>
      <c r="E18" s="73" t="s">
        <v>5</v>
      </c>
      <c r="F18" s="69">
        <f t="shared" si="2"/>
        <v>3</v>
      </c>
      <c r="G18" s="74">
        <v>2.0</v>
      </c>
      <c r="H18" s="75" t="str">
        <f>IFERROR(__xludf.DUMMYFUNCTION("SPARKLINE(F18,{""charttype"",""bar"";""max"",5;""min"",1;""color1"",""#180c56""})"),"")</f>
        <v/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75" customHeight="1">
      <c r="A19" s="71" t="b">
        <v>0</v>
      </c>
      <c r="B19" s="72" t="s">
        <v>302</v>
      </c>
      <c r="C19" s="84" t="s">
        <v>130</v>
      </c>
      <c r="D19" s="84" t="s">
        <v>130</v>
      </c>
      <c r="E19" s="73" t="s">
        <v>5</v>
      </c>
      <c r="F19" s="69">
        <f t="shared" si="2"/>
        <v>3</v>
      </c>
      <c r="G19" s="74">
        <v>2.0</v>
      </c>
      <c r="H19" s="75" t="str">
        <f>IFERROR(__xludf.DUMMYFUNCTION("SPARKLINE(F19,{""charttype"",""bar"";""max"",5;""min"",1;""color1"",""#180c56""})"),"")</f>
        <v/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71" t="b">
        <v>0</v>
      </c>
      <c r="B20" s="72" t="s">
        <v>303</v>
      </c>
      <c r="C20" s="84" t="s">
        <v>130</v>
      </c>
      <c r="D20" s="84" t="s">
        <v>130</v>
      </c>
      <c r="E20" s="73" t="s">
        <v>5</v>
      </c>
      <c r="F20" s="69">
        <f t="shared" si="2"/>
        <v>3</v>
      </c>
      <c r="G20" s="74">
        <v>2.0</v>
      </c>
      <c r="H20" s="75" t="str">
        <f>IFERROR(__xludf.DUMMYFUNCTION("SPARKLINE(F20,{""charttype"",""bar"";""max"",5;""min"",1;""color1"",""#180c56""})"),"")</f>
        <v/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71" t="b">
        <v>0</v>
      </c>
      <c r="B21" s="72" t="s">
        <v>304</v>
      </c>
      <c r="C21" s="84" t="s">
        <v>130</v>
      </c>
      <c r="D21" s="84" t="s">
        <v>130</v>
      </c>
      <c r="E21" s="73" t="s">
        <v>5</v>
      </c>
      <c r="F21" s="69">
        <f t="shared" si="2"/>
        <v>3</v>
      </c>
      <c r="G21" s="74">
        <v>2.0</v>
      </c>
      <c r="H21" s="75" t="str">
        <f>IFERROR(__xludf.DUMMYFUNCTION("SPARKLINE(F21,{""charttype"",""bar"";""max"",5;""min"",1;""color1"",""#180c56""})"),"")</f>
        <v/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71" t="b">
        <v>0</v>
      </c>
      <c r="B22" s="72" t="s">
        <v>305</v>
      </c>
      <c r="C22" s="84" t="s">
        <v>130</v>
      </c>
      <c r="D22" s="84" t="s">
        <v>130</v>
      </c>
      <c r="E22" s="73" t="s">
        <v>5</v>
      </c>
      <c r="F22" s="69">
        <f t="shared" si="2"/>
        <v>3</v>
      </c>
      <c r="G22" s="74">
        <v>2.0</v>
      </c>
      <c r="H22" s="75" t="str">
        <f>IFERROR(__xludf.DUMMYFUNCTION("SPARKLINE(F22,{""charttype"",""bar"";""max"",5;""min"",1;""color1"",""#180c56""})"),"")</f>
        <v/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71" t="b">
        <v>0</v>
      </c>
      <c r="B23" s="72" t="s">
        <v>306</v>
      </c>
      <c r="C23" s="84" t="s">
        <v>130</v>
      </c>
      <c r="D23" s="84" t="s">
        <v>130</v>
      </c>
      <c r="E23" s="73" t="s">
        <v>5</v>
      </c>
      <c r="F23" s="69">
        <f t="shared" si="2"/>
        <v>3</v>
      </c>
      <c r="G23" s="74">
        <v>2.0</v>
      </c>
      <c r="H23" s="75" t="str">
        <f>IFERROR(__xludf.DUMMYFUNCTION("SPARKLINE(F23,{""charttype"",""bar"";""max"",5;""min"",1;""color1"",""#180c56""})"),"")</f>
        <v/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71" t="b">
        <v>0</v>
      </c>
      <c r="B24" s="72" t="s">
        <v>307</v>
      </c>
      <c r="C24" s="84" t="s">
        <v>130</v>
      </c>
      <c r="D24" s="84" t="s">
        <v>130</v>
      </c>
      <c r="E24" s="73" t="s">
        <v>5</v>
      </c>
      <c r="F24" s="69">
        <f t="shared" si="2"/>
        <v>3</v>
      </c>
      <c r="G24" s="74">
        <v>2.0</v>
      </c>
      <c r="H24" s="75" t="str">
        <f>IFERROR(__xludf.DUMMYFUNCTION("SPARKLINE(F24,{""charttype"",""bar"";""max"",5;""min"",1;""color1"",""#180c56""})"),"")</f>
        <v/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75" customHeight="1">
      <c r="A25" s="71" t="b">
        <v>0</v>
      </c>
      <c r="B25" s="72" t="s">
        <v>308</v>
      </c>
      <c r="C25" s="84" t="s">
        <v>130</v>
      </c>
      <c r="D25" s="84" t="s">
        <v>130</v>
      </c>
      <c r="E25" s="73" t="s">
        <v>5</v>
      </c>
      <c r="F25" s="69">
        <f t="shared" si="2"/>
        <v>3</v>
      </c>
      <c r="G25" s="74">
        <v>2.0</v>
      </c>
      <c r="H25" s="75" t="str">
        <f>IFERROR(__xludf.DUMMYFUNCTION("SPARKLINE(F25,{""charttype"",""bar"";""max"",5;""min"",1;""color1"",""#180c56""})"),"")</f>
        <v/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75" customHeight="1">
      <c r="A26" s="71" t="b">
        <v>0</v>
      </c>
      <c r="B26" s="72" t="s">
        <v>309</v>
      </c>
      <c r="C26" s="84" t="s">
        <v>130</v>
      </c>
      <c r="D26" s="84" t="s">
        <v>130</v>
      </c>
      <c r="E26" s="73" t="s">
        <v>5</v>
      </c>
      <c r="F26" s="69">
        <f t="shared" si="2"/>
        <v>3</v>
      </c>
      <c r="G26" s="74">
        <v>2.0</v>
      </c>
      <c r="H26" s="75" t="str">
        <f>IFERROR(__xludf.DUMMYFUNCTION("SPARKLINE(F26,{""charttype"",""bar"";""max"",5;""min"",1;""color1"",""#180c56""})"),"")</f>
        <v/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22.5" customHeight="1">
      <c r="A27" s="60" t="s">
        <v>1</v>
      </c>
      <c r="B27" s="61" t="s">
        <v>310</v>
      </c>
      <c r="C27" s="62"/>
      <c r="D27" s="62"/>
      <c r="E27" s="62"/>
      <c r="F27" s="62"/>
      <c r="G27" s="62"/>
      <c r="H27" s="63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ht="18.75" customHeight="1">
      <c r="A28" s="71" t="b">
        <v>0</v>
      </c>
      <c r="B28" s="72" t="s">
        <v>311</v>
      </c>
      <c r="C28" s="93" t="s">
        <v>130</v>
      </c>
      <c r="D28" s="93" t="s">
        <v>130</v>
      </c>
      <c r="E28" s="73" t="s">
        <v>5</v>
      </c>
      <c r="F28" s="69">
        <f t="shared" ref="F28:F34" si="3">IF(E28="Not Relevant","",IF(E28="Good","",IF(E28="Bad",2,1)))+G28</f>
        <v>3</v>
      </c>
      <c r="G28" s="74">
        <v>2.0</v>
      </c>
      <c r="H28" s="75" t="str">
        <f>IFERROR(__xludf.DUMMYFUNCTION("SPARKLINE(F28,{""charttype"",""bar"";""max"",5;""min"",1;""color1"",""#180c56""})"),"")</f>
        <v/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71" t="b">
        <v>0</v>
      </c>
      <c r="B29" s="72" t="s">
        <v>312</v>
      </c>
      <c r="C29" s="93" t="s">
        <v>130</v>
      </c>
      <c r="D29" s="93" t="s">
        <v>130</v>
      </c>
      <c r="E29" s="73" t="s">
        <v>5</v>
      </c>
      <c r="F29" s="69">
        <f t="shared" si="3"/>
        <v>3</v>
      </c>
      <c r="G29" s="74">
        <v>2.0</v>
      </c>
      <c r="H29" s="75" t="str">
        <f>IFERROR(__xludf.DUMMYFUNCTION("SPARKLINE(F29,{""charttype"",""bar"";""max"",5;""min"",1;""color1"",""#180c56""})"),"")</f>
        <v/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75" customHeight="1">
      <c r="A30" s="71" t="b">
        <v>0</v>
      </c>
      <c r="B30" s="72" t="s">
        <v>313</v>
      </c>
      <c r="C30" s="93" t="s">
        <v>130</v>
      </c>
      <c r="D30" s="93" t="s">
        <v>130</v>
      </c>
      <c r="E30" s="73" t="s">
        <v>5</v>
      </c>
      <c r="F30" s="69">
        <f t="shared" si="3"/>
        <v>3</v>
      </c>
      <c r="G30" s="74">
        <v>2.0</v>
      </c>
      <c r="H30" s="75" t="str">
        <f>IFERROR(__xludf.DUMMYFUNCTION("SPARKLINE(F30,{""charttype"",""bar"";""max"",5;""min"",1;""color1"",""#180c56""})"),"")</f>
        <v/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75" customHeight="1">
      <c r="A31" s="71" t="b">
        <v>0</v>
      </c>
      <c r="B31" s="91" t="s">
        <v>314</v>
      </c>
      <c r="C31" s="93" t="s">
        <v>130</v>
      </c>
      <c r="D31" s="93" t="s">
        <v>130</v>
      </c>
      <c r="E31" s="73" t="s">
        <v>5</v>
      </c>
      <c r="F31" s="69">
        <f t="shared" si="3"/>
        <v>3</v>
      </c>
      <c r="G31" s="74">
        <v>2.0</v>
      </c>
      <c r="H31" s="75" t="str">
        <f>IFERROR(__xludf.DUMMYFUNCTION("SPARKLINE(F31,{""charttype"",""bar"";""max"",5;""min"",1;""color1"",""#180c56""})"),"")</f>
        <v/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75" customHeight="1">
      <c r="A32" s="71" t="b">
        <v>0</v>
      </c>
      <c r="B32" s="72" t="s">
        <v>315</v>
      </c>
      <c r="C32" s="93" t="s">
        <v>130</v>
      </c>
      <c r="D32" s="93" t="s">
        <v>130</v>
      </c>
      <c r="E32" s="73" t="s">
        <v>5</v>
      </c>
      <c r="F32" s="69">
        <f t="shared" si="3"/>
        <v>3</v>
      </c>
      <c r="G32" s="74">
        <v>2.0</v>
      </c>
      <c r="H32" s="75" t="str">
        <f>IFERROR(__xludf.DUMMYFUNCTION("SPARKLINE(F32,{""charttype"",""bar"";""max"",5;""min"",1;""color1"",""#180c56""})"),"")</f>
        <v/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75" customHeight="1">
      <c r="A33" s="71" t="b">
        <v>0</v>
      </c>
      <c r="B33" s="72" t="s">
        <v>316</v>
      </c>
      <c r="C33" s="93" t="s">
        <v>130</v>
      </c>
      <c r="D33" s="93" t="s">
        <v>130</v>
      </c>
      <c r="E33" s="73" t="s">
        <v>5</v>
      </c>
      <c r="F33" s="69">
        <f t="shared" si="3"/>
        <v>3</v>
      </c>
      <c r="G33" s="74">
        <v>2.0</v>
      </c>
      <c r="H33" s="75" t="str">
        <f>IFERROR(__xludf.DUMMYFUNCTION("SPARKLINE(F33,{""charttype"",""bar"";""max"",5;""min"",1;""color1"",""#180c56""})"),"")</f>
        <v/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75" customHeight="1">
      <c r="A34" s="77" t="b">
        <v>0</v>
      </c>
      <c r="B34" s="78" t="s">
        <v>317</v>
      </c>
      <c r="C34" s="94" t="s">
        <v>130</v>
      </c>
      <c r="D34" s="94" t="s">
        <v>130</v>
      </c>
      <c r="E34" s="80" t="s">
        <v>5</v>
      </c>
      <c r="F34" s="81">
        <f t="shared" si="3"/>
        <v>3</v>
      </c>
      <c r="G34" s="81">
        <v>2.0</v>
      </c>
      <c r="H34" s="82" t="str">
        <f>IFERROR(__xludf.DUMMYFUNCTION("SPARKLINE(F34,{""charttype"",""bar"";""max"",5;""min"",1;""color1"",""#180c56""})"),"")</f>
        <v/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75" customHeight="1">
      <c r="A35" s="37"/>
      <c r="B35" s="83"/>
      <c r="C35" s="37"/>
      <c r="D35" s="37"/>
      <c r="E35" s="37"/>
      <c r="F35" s="37"/>
      <c r="G35" s="37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37"/>
      <c r="B36" s="83"/>
      <c r="C36" s="37"/>
      <c r="D36" s="37"/>
      <c r="E36" s="37"/>
      <c r="F36" s="37"/>
      <c r="G36" s="37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37"/>
      <c r="B37" s="83"/>
      <c r="C37" s="37"/>
      <c r="D37" s="37"/>
      <c r="E37" s="37"/>
      <c r="F37" s="37"/>
      <c r="G37" s="3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37"/>
      <c r="B38" s="83"/>
      <c r="C38" s="37"/>
      <c r="D38" s="37"/>
      <c r="E38" s="37"/>
      <c r="F38" s="37"/>
      <c r="G38" s="3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75" customHeight="1">
      <c r="A39" s="37"/>
      <c r="B39" s="83"/>
      <c r="C39" s="37"/>
      <c r="D39" s="37"/>
      <c r="E39" s="37"/>
      <c r="F39" s="37"/>
      <c r="G39" s="3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75" customHeight="1">
      <c r="A40" s="37"/>
      <c r="B40" s="83"/>
      <c r="C40" s="37"/>
      <c r="D40" s="37"/>
      <c r="E40" s="37"/>
      <c r="F40" s="37"/>
      <c r="G40" s="3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37"/>
      <c r="B41" s="83"/>
      <c r="C41" s="37"/>
      <c r="D41" s="37"/>
      <c r="E41" s="37"/>
      <c r="F41" s="37"/>
      <c r="G41" s="3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37"/>
      <c r="B42" s="83"/>
      <c r="C42" s="37"/>
      <c r="D42" s="37"/>
      <c r="E42" s="37"/>
      <c r="F42" s="37"/>
      <c r="G42" s="3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37"/>
      <c r="B43" s="83"/>
      <c r="C43" s="37"/>
      <c r="D43" s="37"/>
      <c r="E43" s="37"/>
      <c r="F43" s="37"/>
      <c r="G43" s="3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37"/>
      <c r="B44" s="83"/>
      <c r="C44" s="37"/>
      <c r="D44" s="37"/>
      <c r="E44" s="37"/>
      <c r="F44" s="37"/>
      <c r="G44" s="3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37"/>
      <c r="B45" s="83"/>
      <c r="C45" s="37"/>
      <c r="D45" s="37"/>
      <c r="E45" s="37"/>
      <c r="F45" s="37"/>
      <c r="G45" s="3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37"/>
      <c r="B46" s="83"/>
      <c r="C46" s="37"/>
      <c r="D46" s="37"/>
      <c r="E46" s="37"/>
      <c r="F46" s="37"/>
      <c r="G46" s="3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37"/>
      <c r="B47" s="83"/>
      <c r="C47" s="37"/>
      <c r="D47" s="37"/>
      <c r="E47" s="37"/>
      <c r="F47" s="37"/>
      <c r="G47" s="3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37"/>
      <c r="B48" s="83"/>
      <c r="C48" s="37"/>
      <c r="D48" s="37"/>
      <c r="E48" s="37"/>
      <c r="F48" s="37"/>
      <c r="G48" s="3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75" customHeight="1">
      <c r="A49" s="37"/>
      <c r="B49" s="83"/>
      <c r="C49" s="37"/>
      <c r="D49" s="37"/>
      <c r="E49" s="37"/>
      <c r="F49" s="37"/>
      <c r="G49" s="3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75" customHeight="1">
      <c r="A50" s="37"/>
      <c r="B50" s="83"/>
      <c r="C50" s="37"/>
      <c r="D50" s="37"/>
      <c r="E50" s="37"/>
      <c r="F50" s="37"/>
      <c r="G50" s="3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75" customHeight="1">
      <c r="A51" s="37"/>
      <c r="B51" s="83"/>
      <c r="C51" s="37"/>
      <c r="D51" s="37"/>
      <c r="E51" s="37"/>
      <c r="F51" s="37"/>
      <c r="G51" s="3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37"/>
      <c r="B52" s="83"/>
      <c r="C52" s="37"/>
      <c r="D52" s="37"/>
      <c r="E52" s="37"/>
      <c r="F52" s="37"/>
      <c r="G52" s="3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37"/>
      <c r="B53" s="83"/>
      <c r="C53" s="37"/>
      <c r="D53" s="37"/>
      <c r="E53" s="37"/>
      <c r="F53" s="37"/>
      <c r="G53" s="3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37"/>
      <c r="B54" s="83"/>
      <c r="C54" s="37"/>
      <c r="D54" s="37"/>
      <c r="E54" s="37"/>
      <c r="F54" s="37"/>
      <c r="G54" s="3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37"/>
      <c r="B55" s="83"/>
      <c r="C55" s="37"/>
      <c r="D55" s="37"/>
      <c r="E55" s="37"/>
      <c r="F55" s="37"/>
      <c r="G55" s="3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37"/>
      <c r="B56" s="83"/>
      <c r="C56" s="37"/>
      <c r="D56" s="37"/>
      <c r="E56" s="37"/>
      <c r="F56" s="37"/>
      <c r="G56" s="3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37"/>
      <c r="B57" s="83"/>
      <c r="C57" s="37"/>
      <c r="D57" s="37"/>
      <c r="E57" s="37"/>
      <c r="F57" s="37"/>
      <c r="G57" s="3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75" customHeight="1">
      <c r="A58" s="37"/>
      <c r="B58" s="83"/>
      <c r="C58" s="37"/>
      <c r="D58" s="37"/>
      <c r="E58" s="37"/>
      <c r="F58" s="37"/>
      <c r="G58" s="3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75" customHeight="1">
      <c r="A59" s="37"/>
      <c r="B59" s="83"/>
      <c r="C59" s="37"/>
      <c r="D59" s="37"/>
      <c r="E59" s="37"/>
      <c r="F59" s="37"/>
      <c r="G59" s="3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75" customHeight="1">
      <c r="A60" s="37"/>
      <c r="B60" s="83"/>
      <c r="C60" s="37"/>
      <c r="D60" s="37"/>
      <c r="E60" s="37"/>
      <c r="F60" s="37"/>
      <c r="G60" s="3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37"/>
      <c r="B61" s="83"/>
      <c r="C61" s="37"/>
      <c r="D61" s="37"/>
      <c r="E61" s="37"/>
      <c r="F61" s="37"/>
      <c r="G61" s="3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37"/>
      <c r="B62" s="83"/>
      <c r="C62" s="37"/>
      <c r="D62" s="37"/>
      <c r="E62" s="37"/>
      <c r="F62" s="37"/>
      <c r="G62" s="3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37"/>
      <c r="B63" s="83"/>
      <c r="C63" s="37"/>
      <c r="D63" s="37"/>
      <c r="E63" s="37"/>
      <c r="F63" s="37"/>
      <c r="G63" s="3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37"/>
      <c r="B64" s="83"/>
      <c r="C64" s="37"/>
      <c r="D64" s="37"/>
      <c r="E64" s="37"/>
      <c r="F64" s="37"/>
      <c r="G64" s="3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37"/>
      <c r="B65" s="83"/>
      <c r="C65" s="37"/>
      <c r="D65" s="37"/>
      <c r="E65" s="37"/>
      <c r="F65" s="37"/>
      <c r="G65" s="3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37"/>
      <c r="B66" s="83"/>
      <c r="C66" s="37"/>
      <c r="D66" s="37"/>
      <c r="E66" s="37"/>
      <c r="F66" s="37"/>
      <c r="G66" s="3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37"/>
      <c r="B67" s="83"/>
      <c r="C67" s="37"/>
      <c r="D67" s="37"/>
      <c r="E67" s="37"/>
      <c r="F67" s="37"/>
      <c r="G67" s="3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75" customHeight="1">
      <c r="A68" s="37"/>
      <c r="B68" s="83"/>
      <c r="C68" s="37"/>
      <c r="D68" s="37"/>
      <c r="E68" s="37"/>
      <c r="F68" s="37"/>
      <c r="G68" s="3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75" customHeight="1">
      <c r="A69" s="37"/>
      <c r="B69" s="83"/>
      <c r="C69" s="37"/>
      <c r="D69" s="37"/>
      <c r="E69" s="37"/>
      <c r="F69" s="37"/>
      <c r="G69" s="3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37"/>
      <c r="B70" s="83"/>
      <c r="C70" s="37"/>
      <c r="D70" s="37"/>
      <c r="E70" s="37"/>
      <c r="F70" s="37"/>
      <c r="G70" s="3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37"/>
      <c r="B71" s="83"/>
      <c r="C71" s="37"/>
      <c r="D71" s="37"/>
      <c r="E71" s="37"/>
      <c r="F71" s="37"/>
      <c r="G71" s="3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37"/>
      <c r="B72" s="83"/>
      <c r="C72" s="37"/>
      <c r="D72" s="37"/>
      <c r="E72" s="37"/>
      <c r="F72" s="37"/>
      <c r="G72" s="3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37"/>
      <c r="B73" s="83"/>
      <c r="C73" s="37"/>
      <c r="D73" s="37"/>
      <c r="E73" s="37"/>
      <c r="F73" s="37"/>
      <c r="G73" s="3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37"/>
      <c r="B74" s="83"/>
      <c r="C74" s="37"/>
      <c r="D74" s="37"/>
      <c r="E74" s="37"/>
      <c r="F74" s="37"/>
      <c r="G74" s="3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37"/>
      <c r="B75" s="83"/>
      <c r="C75" s="37"/>
      <c r="D75" s="37"/>
      <c r="E75" s="37"/>
      <c r="F75" s="37"/>
      <c r="G75" s="3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37"/>
      <c r="B76" s="83"/>
      <c r="C76" s="37"/>
      <c r="D76" s="37"/>
      <c r="E76" s="37"/>
      <c r="F76" s="37"/>
      <c r="G76" s="3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37"/>
      <c r="B77" s="83"/>
      <c r="C77" s="37"/>
      <c r="D77" s="37"/>
      <c r="E77" s="37"/>
      <c r="F77" s="37"/>
      <c r="G77" s="3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37"/>
      <c r="B78" s="83"/>
      <c r="C78" s="37"/>
      <c r="D78" s="37"/>
      <c r="E78" s="37"/>
      <c r="F78" s="37"/>
      <c r="G78" s="3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8.75" customHeight="1">
      <c r="A960" s="37"/>
      <c r="B960" s="83"/>
      <c r="C960" s="37"/>
      <c r="D960" s="37"/>
      <c r="E960" s="37"/>
      <c r="F960" s="37"/>
      <c r="G960" s="3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8.75" customHeight="1">
      <c r="A961" s="37"/>
      <c r="B961" s="83"/>
      <c r="C961" s="37"/>
      <c r="D961" s="37"/>
      <c r="E961" s="37"/>
      <c r="F961" s="37"/>
      <c r="G961" s="3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8.75" customHeight="1">
      <c r="A962" s="37"/>
      <c r="B962" s="83"/>
      <c r="C962" s="37"/>
      <c r="D962" s="37"/>
      <c r="E962" s="37"/>
      <c r="F962" s="37"/>
      <c r="G962" s="3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8.75" customHeight="1">
      <c r="A963" s="37"/>
      <c r="B963" s="83"/>
      <c r="C963" s="37"/>
      <c r="D963" s="37"/>
      <c r="E963" s="37"/>
      <c r="F963" s="37"/>
      <c r="G963" s="3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8.75" customHeight="1">
      <c r="A964" s="37"/>
      <c r="B964" s="83"/>
      <c r="C964" s="37"/>
      <c r="D964" s="37"/>
      <c r="E964" s="37"/>
      <c r="F964" s="37"/>
      <c r="G964" s="3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8.75" customHeight="1">
      <c r="A965" s="37"/>
      <c r="B965" s="83"/>
      <c r="C965" s="37"/>
      <c r="D965" s="37"/>
      <c r="E965" s="37"/>
      <c r="F965" s="37"/>
      <c r="G965" s="3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8.75" customHeight="1">
      <c r="A966" s="37"/>
      <c r="B966" s="83"/>
      <c r="C966" s="37"/>
      <c r="D966" s="37"/>
      <c r="E966" s="37"/>
      <c r="F966" s="37"/>
      <c r="G966" s="3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8.75" customHeight="1">
      <c r="A967" s="37"/>
      <c r="B967" s="83"/>
      <c r="C967" s="37"/>
      <c r="D967" s="37"/>
      <c r="E967" s="37"/>
      <c r="F967" s="37"/>
      <c r="G967" s="3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8.75" customHeight="1">
      <c r="A968" s="37"/>
      <c r="B968" s="83"/>
      <c r="C968" s="37"/>
      <c r="D968" s="37"/>
      <c r="E968" s="37"/>
      <c r="F968" s="37"/>
      <c r="G968" s="3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8.75" customHeight="1">
      <c r="A969" s="37"/>
      <c r="B969" s="83"/>
      <c r="C969" s="37"/>
      <c r="D969" s="37"/>
      <c r="E969" s="37"/>
      <c r="F969" s="37"/>
      <c r="G969" s="3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8.75" customHeight="1">
      <c r="A970" s="37"/>
      <c r="B970" s="83"/>
      <c r="C970" s="37"/>
      <c r="D970" s="37"/>
      <c r="E970" s="37"/>
      <c r="F970" s="37"/>
      <c r="G970" s="3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8.75" customHeight="1">
      <c r="A971" s="37"/>
      <c r="B971" s="83"/>
      <c r="C971" s="37"/>
      <c r="D971" s="37"/>
      <c r="E971" s="37"/>
      <c r="F971" s="37"/>
      <c r="G971" s="3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8.75" customHeight="1">
      <c r="A972" s="37"/>
      <c r="B972" s="83"/>
      <c r="C972" s="37"/>
      <c r="D972" s="37"/>
      <c r="E972" s="37"/>
      <c r="F972" s="37"/>
      <c r="G972" s="37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8.75" customHeight="1">
      <c r="A973" s="37"/>
      <c r="B973" s="83"/>
      <c r="C973" s="37"/>
      <c r="D973" s="37"/>
      <c r="E973" s="37"/>
      <c r="F973" s="37"/>
      <c r="G973" s="37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8.75" customHeight="1">
      <c r="A974" s="37"/>
      <c r="B974" s="83"/>
      <c r="C974" s="37"/>
      <c r="D974" s="37"/>
      <c r="E974" s="37"/>
      <c r="F974" s="37"/>
      <c r="G974" s="37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8.75" customHeight="1">
      <c r="A975" s="37"/>
      <c r="B975" s="83"/>
      <c r="C975" s="37"/>
      <c r="D975" s="37"/>
      <c r="E975" s="37"/>
      <c r="F975" s="37"/>
      <c r="G975" s="37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8.75" customHeight="1">
      <c r="A976" s="37"/>
      <c r="B976" s="83"/>
      <c r="C976" s="37"/>
      <c r="D976" s="37"/>
      <c r="E976" s="37"/>
      <c r="F976" s="37"/>
      <c r="G976" s="37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8.75" customHeight="1">
      <c r="A977" s="37"/>
      <c r="B977" s="83"/>
      <c r="C977" s="37"/>
      <c r="D977" s="37"/>
      <c r="E977" s="37"/>
      <c r="F977" s="37"/>
      <c r="G977" s="37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8.75" customHeight="1">
      <c r="A978" s="37"/>
      <c r="B978" s="83"/>
      <c r="C978" s="37"/>
      <c r="D978" s="37"/>
      <c r="E978" s="37"/>
      <c r="F978" s="37"/>
      <c r="G978" s="37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8.75" customHeight="1">
      <c r="A979" s="37"/>
      <c r="B979" s="83"/>
      <c r="C979" s="37"/>
      <c r="D979" s="37"/>
      <c r="E979" s="37"/>
      <c r="F979" s="37"/>
      <c r="G979" s="37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8.75" customHeight="1">
      <c r="A980" s="37"/>
      <c r="B980" s="83"/>
      <c r="C980" s="37"/>
      <c r="D980" s="37"/>
      <c r="E980" s="37"/>
      <c r="F980" s="37"/>
      <c r="G980" s="37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8.75" customHeight="1">
      <c r="A981" s="37"/>
      <c r="B981" s="83"/>
      <c r="C981" s="37"/>
      <c r="D981" s="37"/>
      <c r="E981" s="37"/>
      <c r="F981" s="37"/>
      <c r="G981" s="37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</sheetData>
  <conditionalFormatting sqref="B3:B34">
    <cfRule type="expression" dxfId="2" priority="1">
      <formula>$A3=TRUE</formula>
    </cfRule>
  </conditionalFormatting>
  <conditionalFormatting sqref="A3:H34">
    <cfRule type="expression" dxfId="0" priority="2">
      <formula>$A3=TRUE</formula>
    </cfRule>
  </conditionalFormatting>
  <conditionalFormatting sqref="E3:E34">
    <cfRule type="cellIs" dxfId="3" priority="3" operator="equal">
      <formula>"Done"</formula>
    </cfRule>
  </conditionalFormatting>
  <conditionalFormatting sqref="E3:E34">
    <cfRule type="cellIs" dxfId="4" priority="4" operator="equal">
      <formula>"Can be Improved"</formula>
    </cfRule>
  </conditionalFormatting>
  <conditionalFormatting sqref="E3:E34">
    <cfRule type="cellIs" dxfId="5" priority="5" operator="equal">
      <formula>"To Do"</formula>
    </cfRule>
  </conditionalFormatting>
  <conditionalFormatting sqref="A3:H34">
    <cfRule type="expression" dxfId="1" priority="6">
      <formula>OR($E3="Done",$E3="Irrelevant")</formula>
    </cfRule>
  </conditionalFormatting>
  <dataValidations>
    <dataValidation type="list" allowBlank="1" sqref="E4:E15 E17:E26 E28:E34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7"/>
    <hyperlink r:id="rId8" ref="D7"/>
    <hyperlink r:id="rId9" ref="C8"/>
    <hyperlink r:id="rId10" ref="D8"/>
    <hyperlink r:id="rId11" ref="C9"/>
    <hyperlink r:id="rId12" ref="D9"/>
    <hyperlink r:id="rId13" ref="C10"/>
    <hyperlink r:id="rId14" ref="D10"/>
    <hyperlink r:id="rId15" ref="C11"/>
    <hyperlink r:id="rId16" ref="D11"/>
    <hyperlink r:id="rId17" ref="C12"/>
    <hyperlink r:id="rId18" ref="D12"/>
    <hyperlink r:id="rId19" ref="C13"/>
    <hyperlink r:id="rId20" ref="D13"/>
    <hyperlink r:id="rId21" ref="C14"/>
    <hyperlink r:id="rId22" ref="D14"/>
    <hyperlink r:id="rId23" ref="C15"/>
    <hyperlink r:id="rId24" ref="D15"/>
    <hyperlink r:id="rId25" ref="C17"/>
    <hyperlink r:id="rId26" ref="D17"/>
    <hyperlink r:id="rId27" ref="C18"/>
    <hyperlink r:id="rId28" ref="D18"/>
    <hyperlink r:id="rId29" ref="C19"/>
    <hyperlink r:id="rId30" ref="D19"/>
    <hyperlink r:id="rId31" ref="C20"/>
    <hyperlink r:id="rId32" ref="D20"/>
    <hyperlink r:id="rId33" ref="C21"/>
    <hyperlink r:id="rId34" ref="D21"/>
    <hyperlink r:id="rId35" ref="C22"/>
    <hyperlink r:id="rId36" ref="D22"/>
    <hyperlink r:id="rId37" ref="C23"/>
    <hyperlink r:id="rId38" ref="D23"/>
    <hyperlink r:id="rId39" ref="C24"/>
    <hyperlink r:id="rId40" ref="D24"/>
    <hyperlink r:id="rId41" ref="C25"/>
    <hyperlink r:id="rId42" ref="D25"/>
    <hyperlink r:id="rId43" ref="C26"/>
    <hyperlink r:id="rId44" ref="D26"/>
    <hyperlink r:id="rId45" ref="C28"/>
    <hyperlink r:id="rId46" ref="D28"/>
    <hyperlink r:id="rId47" ref="C29"/>
    <hyperlink r:id="rId48" ref="D29"/>
    <hyperlink r:id="rId49" ref="C30"/>
    <hyperlink r:id="rId50" ref="D30"/>
    <hyperlink r:id="rId51" ref="C31"/>
    <hyperlink r:id="rId52" ref="D31"/>
    <hyperlink r:id="rId53" ref="C32"/>
    <hyperlink r:id="rId54" ref="D32"/>
    <hyperlink r:id="rId55" ref="C33"/>
    <hyperlink r:id="rId56" ref="D33"/>
    <hyperlink r:id="rId57" ref="C34"/>
    <hyperlink r:id="rId58" ref="D34"/>
  </hyperlinks>
  <drawing r:id="rId5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25.5"/>
    <col customWidth="1" min="3" max="4" width="10.13"/>
    <col customWidth="1" min="5" max="5" width="15.13"/>
    <col customWidth="1" min="6" max="7" width="10.13"/>
    <col customWidth="1" min="8" max="8" width="16.38"/>
    <col hidden="1" min="9" max="25" width="12.63"/>
  </cols>
  <sheetData>
    <row r="1" ht="52.5" customHeight="1">
      <c r="A1" s="1"/>
      <c r="B1" s="3" t="s">
        <v>318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319</v>
      </c>
      <c r="B2" s="57" t="s">
        <v>320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 t="s">
        <v>121</v>
      </c>
      <c r="B3" s="61" t="s">
        <v>310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65" t="b">
        <v>0</v>
      </c>
      <c r="B4" s="66" t="s">
        <v>321</v>
      </c>
      <c r="C4" s="93" t="s">
        <v>130</v>
      </c>
      <c r="D4" s="76" t="s">
        <v>130</v>
      </c>
      <c r="E4" s="68" t="s">
        <v>5</v>
      </c>
      <c r="F4" s="69">
        <f t="shared" ref="F4:F8" si="1">IF(E4="Not Relevant","",IF(E4="Good","",IF(E4="Bad",2,1)))+G4</f>
        <v>4</v>
      </c>
      <c r="G4" s="69">
        <v>3.0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71" t="b">
        <v>0</v>
      </c>
      <c r="B5" s="72" t="s">
        <v>322</v>
      </c>
      <c r="C5" s="93" t="s">
        <v>130</v>
      </c>
      <c r="D5" s="93" t="s">
        <v>130</v>
      </c>
      <c r="E5" s="73" t="s">
        <v>5</v>
      </c>
      <c r="F5" s="74">
        <f t="shared" si="1"/>
        <v>3</v>
      </c>
      <c r="G5" s="74">
        <v>2.0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71" t="b">
        <v>0</v>
      </c>
      <c r="B6" s="72" t="s">
        <v>323</v>
      </c>
      <c r="C6" s="93" t="s">
        <v>130</v>
      </c>
      <c r="D6" s="93" t="s">
        <v>130</v>
      </c>
      <c r="E6" s="73" t="s">
        <v>5</v>
      </c>
      <c r="F6" s="74">
        <f t="shared" si="1"/>
        <v>4</v>
      </c>
      <c r="G6" s="74">
        <v>3.0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75" customHeight="1">
      <c r="A7" s="71" t="b">
        <v>0</v>
      </c>
      <c r="B7" s="72" t="s">
        <v>324</v>
      </c>
      <c r="C7" s="93" t="s">
        <v>130</v>
      </c>
      <c r="D7" s="93" t="s">
        <v>130</v>
      </c>
      <c r="E7" s="73" t="s">
        <v>5</v>
      </c>
      <c r="F7" s="74">
        <f t="shared" si="1"/>
        <v>3</v>
      </c>
      <c r="G7" s="74">
        <v>2.0</v>
      </c>
      <c r="H7" s="70" t="str">
        <f>IFERROR(__xludf.DUMMYFUNCTION("SPARKLINE(F7,{""charttype"",""bar"";""max"",5;""min"",1;""color1"",""#180c56""})"),"")</f>
        <v/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75" customHeight="1">
      <c r="A8" s="71" t="b">
        <v>0</v>
      </c>
      <c r="B8" s="72" t="s">
        <v>325</v>
      </c>
      <c r="C8" s="93" t="s">
        <v>130</v>
      </c>
      <c r="D8" s="93" t="s">
        <v>130</v>
      </c>
      <c r="E8" s="73" t="s">
        <v>5</v>
      </c>
      <c r="F8" s="74">
        <f t="shared" si="1"/>
        <v>4</v>
      </c>
      <c r="G8" s="74">
        <v>3.0</v>
      </c>
      <c r="H8" s="70" t="str">
        <f>IFERROR(__xludf.DUMMYFUNCTION("SPARKLINE(F8,{""charttype"",""bar"";""max"",5;""min"",1;""color1"",""#180c56""})"),"")</f>
        <v/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22.5" customHeight="1">
      <c r="A9" s="60" t="s">
        <v>326</v>
      </c>
      <c r="B9" s="61" t="s">
        <v>327</v>
      </c>
      <c r="C9" s="95"/>
      <c r="D9" s="95"/>
      <c r="E9" s="95"/>
      <c r="F9" s="62"/>
      <c r="G9" s="62"/>
      <c r="H9" s="63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ht="18.75" customHeight="1">
      <c r="A10" s="71" t="b">
        <v>0</v>
      </c>
      <c r="B10" s="72" t="s">
        <v>328</v>
      </c>
      <c r="C10" s="76" t="s">
        <v>130</v>
      </c>
      <c r="D10" s="76" t="s">
        <v>130</v>
      </c>
      <c r="E10" s="73" t="s">
        <v>5</v>
      </c>
      <c r="F10" s="74">
        <f t="shared" ref="F10:F15" si="2">IF(E10="Not Relevant","",IF(E10="Good","",IF(E10="Bad",2,1)))+G10</f>
        <v>4</v>
      </c>
      <c r="G10" s="74">
        <v>3.0</v>
      </c>
      <c r="H10" s="75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71" t="b">
        <v>0</v>
      </c>
      <c r="B11" s="72" t="s">
        <v>329</v>
      </c>
      <c r="C11" s="76" t="s">
        <v>130</v>
      </c>
      <c r="D11" s="76" t="s">
        <v>130</v>
      </c>
      <c r="E11" s="73" t="s">
        <v>5</v>
      </c>
      <c r="F11" s="74">
        <f t="shared" si="2"/>
        <v>3</v>
      </c>
      <c r="G11" s="74">
        <v>2.0</v>
      </c>
      <c r="H11" s="75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71" t="b">
        <v>0</v>
      </c>
      <c r="B12" s="72" t="s">
        <v>330</v>
      </c>
      <c r="C12" s="93" t="s">
        <v>130</v>
      </c>
      <c r="D12" s="93" t="s">
        <v>130</v>
      </c>
      <c r="E12" s="73" t="s">
        <v>5</v>
      </c>
      <c r="F12" s="74">
        <f t="shared" si="2"/>
        <v>2</v>
      </c>
      <c r="G12" s="74">
        <v>1.0</v>
      </c>
      <c r="H12" s="75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75" customHeight="1">
      <c r="A13" s="71" t="b">
        <v>0</v>
      </c>
      <c r="B13" s="72" t="s">
        <v>331</v>
      </c>
      <c r="C13" s="93" t="s">
        <v>130</v>
      </c>
      <c r="D13" s="93" t="s">
        <v>130</v>
      </c>
      <c r="E13" s="73" t="s">
        <v>5</v>
      </c>
      <c r="F13" s="74">
        <f t="shared" si="2"/>
        <v>3</v>
      </c>
      <c r="G13" s="74">
        <v>2.0</v>
      </c>
      <c r="H13" s="75" t="str">
        <f>IFERROR(__xludf.DUMMYFUNCTION("SPARKLINE(F13,{""charttype"",""bar"";""max"",5;""min"",1;""color1"",""#180c56""})"),"")</f>
        <v/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75" customHeight="1">
      <c r="A14" s="71" t="b">
        <v>0</v>
      </c>
      <c r="B14" s="72" t="s">
        <v>332</v>
      </c>
      <c r="C14" s="76" t="s">
        <v>130</v>
      </c>
      <c r="D14" s="76" t="s">
        <v>130</v>
      </c>
      <c r="E14" s="73" t="s">
        <v>5</v>
      </c>
      <c r="F14" s="74">
        <f t="shared" si="2"/>
        <v>3</v>
      </c>
      <c r="G14" s="74">
        <v>2.0</v>
      </c>
      <c r="H14" s="75" t="str">
        <f>IFERROR(__xludf.DUMMYFUNCTION("SPARKLINE(F14,{""charttype"",""bar"";""max"",5;""min"",1;""color1"",""#180c56""})"),"")</f>
        <v/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71" t="b">
        <v>0</v>
      </c>
      <c r="B15" s="72" t="s">
        <v>333</v>
      </c>
      <c r="C15" s="76" t="s">
        <v>130</v>
      </c>
      <c r="D15" s="76" t="s">
        <v>130</v>
      </c>
      <c r="E15" s="73" t="s">
        <v>5</v>
      </c>
      <c r="F15" s="74">
        <f t="shared" si="2"/>
        <v>4</v>
      </c>
      <c r="G15" s="74">
        <v>3.0</v>
      </c>
      <c r="H15" s="75" t="str">
        <f>IFERROR(__xludf.DUMMYFUNCTION("SPARKLINE(F15,{""charttype"",""bar"";""max"",5;""min"",1;""color1"",""#180c56""})"),"")</f>
        <v/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22.5" customHeight="1">
      <c r="A16" s="60" t="s">
        <v>334</v>
      </c>
      <c r="B16" s="61" t="s">
        <v>335</v>
      </c>
      <c r="C16" s="95"/>
      <c r="D16" s="95"/>
      <c r="E16" s="95"/>
      <c r="F16" s="62"/>
      <c r="G16" s="62"/>
      <c r="H16" s="63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ht="18.75" customHeight="1">
      <c r="A17" s="71" t="b">
        <v>0</v>
      </c>
      <c r="B17" s="72" t="s">
        <v>336</v>
      </c>
      <c r="C17" s="93" t="s">
        <v>130</v>
      </c>
      <c r="D17" s="93" t="s">
        <v>130</v>
      </c>
      <c r="E17" s="73" t="s">
        <v>5</v>
      </c>
      <c r="F17" s="74">
        <f t="shared" ref="F17:F24" si="3">IF(E17="Not Relevant","",IF(E17="Good","",IF(E17="Bad",2,1)))+G17</f>
        <v>4</v>
      </c>
      <c r="G17" s="74">
        <v>3.0</v>
      </c>
      <c r="H17" s="75" t="str">
        <f>IFERROR(__xludf.DUMMYFUNCTION("SPARKLINE(F17,{""charttype"",""bar"";""max"",5;""min"",1;""color1"",""#180c56""})"),"")</f>
        <v/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75" customHeight="1">
      <c r="A18" s="71" t="b">
        <v>0</v>
      </c>
      <c r="B18" s="72" t="s">
        <v>255</v>
      </c>
      <c r="C18" s="93" t="s">
        <v>130</v>
      </c>
      <c r="D18" s="93" t="s">
        <v>130</v>
      </c>
      <c r="E18" s="73" t="s">
        <v>5</v>
      </c>
      <c r="F18" s="74">
        <f t="shared" si="3"/>
        <v>4</v>
      </c>
      <c r="G18" s="74">
        <v>3.0</v>
      </c>
      <c r="H18" s="75" t="str">
        <f>IFERROR(__xludf.DUMMYFUNCTION("SPARKLINE(F18,{""charttype"",""bar"";""max"",5;""min"",1;""color1"",""#180c56""})"),"")</f>
        <v/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75" customHeight="1">
      <c r="A19" s="71" t="b">
        <v>0</v>
      </c>
      <c r="B19" s="72" t="s">
        <v>337</v>
      </c>
      <c r="C19" s="93" t="s">
        <v>130</v>
      </c>
      <c r="D19" s="93" t="s">
        <v>130</v>
      </c>
      <c r="E19" s="73" t="s">
        <v>5</v>
      </c>
      <c r="F19" s="74">
        <f t="shared" si="3"/>
        <v>3</v>
      </c>
      <c r="G19" s="74">
        <v>2.0</v>
      </c>
      <c r="H19" s="75" t="str">
        <f>IFERROR(__xludf.DUMMYFUNCTION("SPARKLINE(F19,{""charttype"",""bar"";""max"",5;""min"",1;""color1"",""#180c56""})"),"")</f>
        <v/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71" t="b">
        <v>0</v>
      </c>
      <c r="B20" s="72" t="s">
        <v>338</v>
      </c>
      <c r="C20" s="93" t="s">
        <v>130</v>
      </c>
      <c r="D20" s="93" t="s">
        <v>130</v>
      </c>
      <c r="E20" s="73" t="s">
        <v>5</v>
      </c>
      <c r="F20" s="74">
        <f t="shared" si="3"/>
        <v>3</v>
      </c>
      <c r="G20" s="74">
        <v>2.0</v>
      </c>
      <c r="H20" s="75" t="str">
        <f>IFERROR(__xludf.DUMMYFUNCTION("SPARKLINE(F20,{""charttype"",""bar"";""max"",5;""min"",1;""color1"",""#180c56""})"),"")</f>
        <v/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71" t="b">
        <v>0</v>
      </c>
      <c r="B21" s="72" t="s">
        <v>339</v>
      </c>
      <c r="C21" s="93" t="s">
        <v>130</v>
      </c>
      <c r="D21" s="93" t="s">
        <v>130</v>
      </c>
      <c r="E21" s="73" t="s">
        <v>5</v>
      </c>
      <c r="F21" s="74">
        <f t="shared" si="3"/>
        <v>4</v>
      </c>
      <c r="G21" s="74">
        <v>3.0</v>
      </c>
      <c r="H21" s="75" t="str">
        <f>IFERROR(__xludf.DUMMYFUNCTION("SPARKLINE(F21,{""charttype"",""bar"";""max"",5;""min"",1;""color1"",""#180c56""})"),"")</f>
        <v/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71" t="b">
        <v>0</v>
      </c>
      <c r="B22" s="72" t="s">
        <v>340</v>
      </c>
      <c r="C22" s="93" t="s">
        <v>130</v>
      </c>
      <c r="D22" s="93" t="s">
        <v>130</v>
      </c>
      <c r="E22" s="73" t="s">
        <v>5</v>
      </c>
      <c r="F22" s="74">
        <f t="shared" si="3"/>
        <v>4</v>
      </c>
      <c r="G22" s="74">
        <v>3.0</v>
      </c>
      <c r="H22" s="75" t="str">
        <f>IFERROR(__xludf.DUMMYFUNCTION("SPARKLINE(F22,{""charttype"",""bar"";""max"",5;""min"",1;""color1"",""#180c56""})"),"")</f>
        <v/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71" t="b">
        <v>0</v>
      </c>
      <c r="B23" s="72" t="s">
        <v>341</v>
      </c>
      <c r="C23" s="93" t="s">
        <v>130</v>
      </c>
      <c r="D23" s="93" t="s">
        <v>130</v>
      </c>
      <c r="E23" s="73" t="s">
        <v>5</v>
      </c>
      <c r="F23" s="74">
        <f t="shared" si="3"/>
        <v>4</v>
      </c>
      <c r="G23" s="74">
        <v>3.0</v>
      </c>
      <c r="H23" s="75" t="str">
        <f>IFERROR(__xludf.DUMMYFUNCTION("SPARKLINE(F23,{""charttype"",""bar"";""max"",5;""min"",1;""color1"",""#180c56""})"),"")</f>
        <v/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71" t="b">
        <v>0</v>
      </c>
      <c r="B24" s="72" t="s">
        <v>342</v>
      </c>
      <c r="C24" s="93" t="s">
        <v>130</v>
      </c>
      <c r="D24" s="93" t="s">
        <v>130</v>
      </c>
      <c r="E24" s="73" t="s">
        <v>5</v>
      </c>
      <c r="F24" s="74">
        <f t="shared" si="3"/>
        <v>4</v>
      </c>
      <c r="G24" s="74">
        <v>3.0</v>
      </c>
      <c r="H24" s="75" t="str">
        <f>IFERROR(__xludf.DUMMYFUNCTION("SPARKLINE(F24,{""charttype"",""bar"";""max"",5;""min"",1;""color1"",""#180c56""})"),"")</f>
        <v/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22.5" customHeight="1">
      <c r="A25" s="60" t="s">
        <v>343</v>
      </c>
      <c r="B25" s="61" t="s">
        <v>344</v>
      </c>
      <c r="C25" s="62"/>
      <c r="D25" s="62"/>
      <c r="E25" s="62"/>
      <c r="F25" s="62"/>
      <c r="G25" s="62"/>
      <c r="H25" s="63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ht="18.75" customHeight="1">
      <c r="A26" s="71" t="b">
        <v>0</v>
      </c>
      <c r="B26" s="72" t="s">
        <v>345</v>
      </c>
      <c r="C26" s="76" t="s">
        <v>130</v>
      </c>
      <c r="D26" s="76" t="s">
        <v>130</v>
      </c>
      <c r="E26" s="73" t="s">
        <v>5</v>
      </c>
      <c r="F26" s="74">
        <f t="shared" ref="F26:F49" si="4">IF(E26="Not Relevant","",IF(E26="Good","",IF(E26="Bad",2,1)))+G26</f>
        <v>4</v>
      </c>
      <c r="G26" s="74">
        <v>3.0</v>
      </c>
      <c r="H26" s="75" t="str">
        <f>IFERROR(__xludf.DUMMYFUNCTION("SPARKLINE(F26,{""charttype"",""bar"";""max"",5;""min"",1;""color1"",""#180c56""})"),"")</f>
        <v/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75" customHeight="1">
      <c r="A27" s="71" t="b">
        <v>0</v>
      </c>
      <c r="B27" s="72" t="s">
        <v>346</v>
      </c>
      <c r="C27" s="76" t="s">
        <v>130</v>
      </c>
      <c r="D27" s="76" t="s">
        <v>130</v>
      </c>
      <c r="E27" s="73" t="s">
        <v>5</v>
      </c>
      <c r="F27" s="74">
        <f t="shared" si="4"/>
        <v>4</v>
      </c>
      <c r="G27" s="74">
        <v>3.0</v>
      </c>
      <c r="H27" s="75" t="str">
        <f>IFERROR(__xludf.DUMMYFUNCTION("SPARKLINE(F27,{""charttype"",""bar"";""max"",5;""min"",1;""color1"",""#180c56""})"),"")</f>
        <v/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75" customHeight="1">
      <c r="A28" s="71" t="b">
        <v>0</v>
      </c>
      <c r="B28" s="72" t="s">
        <v>347</v>
      </c>
      <c r="C28" s="76" t="s">
        <v>130</v>
      </c>
      <c r="D28" s="76" t="s">
        <v>130</v>
      </c>
      <c r="E28" s="73" t="s">
        <v>5</v>
      </c>
      <c r="F28" s="74">
        <f t="shared" si="4"/>
        <v>4</v>
      </c>
      <c r="G28" s="74">
        <v>3.0</v>
      </c>
      <c r="H28" s="75" t="str">
        <f>IFERROR(__xludf.DUMMYFUNCTION("SPARKLINE(F28,{""charttype"",""bar"";""max"",5;""min"",1;""color1"",""#180c56""})"),"")</f>
        <v/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71" t="b">
        <v>0</v>
      </c>
      <c r="B29" s="72" t="s">
        <v>348</v>
      </c>
      <c r="C29" s="76" t="s">
        <v>130</v>
      </c>
      <c r="D29" s="76" t="s">
        <v>130</v>
      </c>
      <c r="E29" s="73" t="s">
        <v>5</v>
      </c>
      <c r="F29" s="74">
        <f t="shared" si="4"/>
        <v>4</v>
      </c>
      <c r="G29" s="74">
        <v>3.0</v>
      </c>
      <c r="H29" s="75" t="str">
        <f>IFERROR(__xludf.DUMMYFUNCTION("SPARKLINE(F29,{""charttype"",""bar"";""max"",5;""min"",1;""color1"",""#180c56""})"),"")</f>
        <v/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75" customHeight="1">
      <c r="A30" s="71" t="b">
        <v>0</v>
      </c>
      <c r="B30" s="72" t="s">
        <v>349</v>
      </c>
      <c r="C30" s="76" t="s">
        <v>130</v>
      </c>
      <c r="D30" s="76" t="s">
        <v>130</v>
      </c>
      <c r="E30" s="73" t="s">
        <v>5</v>
      </c>
      <c r="F30" s="74">
        <f t="shared" si="4"/>
        <v>4</v>
      </c>
      <c r="G30" s="74">
        <v>3.0</v>
      </c>
      <c r="H30" s="75" t="str">
        <f>IFERROR(__xludf.DUMMYFUNCTION("SPARKLINE(F30,{""charttype"",""bar"";""max"",5;""min"",1;""color1"",""#180c56""})"),"")</f>
        <v/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75" customHeight="1">
      <c r="A31" s="71" t="b">
        <v>0</v>
      </c>
      <c r="B31" s="72" t="s">
        <v>350</v>
      </c>
      <c r="C31" s="76" t="s">
        <v>130</v>
      </c>
      <c r="D31" s="76" t="s">
        <v>130</v>
      </c>
      <c r="E31" s="73" t="s">
        <v>5</v>
      </c>
      <c r="F31" s="74">
        <f t="shared" si="4"/>
        <v>4</v>
      </c>
      <c r="G31" s="74">
        <v>3.0</v>
      </c>
      <c r="H31" s="75" t="str">
        <f>IFERROR(__xludf.DUMMYFUNCTION("SPARKLINE(F31,{""charttype"",""bar"";""max"",5;""min"",1;""color1"",""#180c56""})"),"")</f>
        <v/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75" customHeight="1">
      <c r="A32" s="71" t="b">
        <v>0</v>
      </c>
      <c r="B32" s="72" t="s">
        <v>351</v>
      </c>
      <c r="C32" s="76" t="s">
        <v>130</v>
      </c>
      <c r="D32" s="76" t="s">
        <v>130</v>
      </c>
      <c r="E32" s="73" t="s">
        <v>5</v>
      </c>
      <c r="F32" s="74">
        <f t="shared" si="4"/>
        <v>4</v>
      </c>
      <c r="G32" s="74">
        <v>3.0</v>
      </c>
      <c r="H32" s="75" t="str">
        <f>IFERROR(__xludf.DUMMYFUNCTION("SPARKLINE(F32,{""charttype"",""bar"";""max"",5;""min"",1;""color1"",""#180c56""})"),"")</f>
        <v/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75" customHeight="1">
      <c r="A33" s="71" t="b">
        <v>0</v>
      </c>
      <c r="B33" s="72" t="s">
        <v>352</v>
      </c>
      <c r="C33" s="76" t="s">
        <v>130</v>
      </c>
      <c r="D33" s="76" t="s">
        <v>130</v>
      </c>
      <c r="E33" s="73" t="s">
        <v>5</v>
      </c>
      <c r="F33" s="74">
        <f t="shared" si="4"/>
        <v>4</v>
      </c>
      <c r="G33" s="74">
        <v>3.0</v>
      </c>
      <c r="H33" s="75" t="str">
        <f>IFERROR(__xludf.DUMMYFUNCTION("SPARKLINE(F33,{""charttype"",""bar"";""max"",5;""min"",1;""color1"",""#180c56""})"),"")</f>
        <v/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75" customHeight="1">
      <c r="A34" s="71" t="b">
        <v>0</v>
      </c>
      <c r="B34" s="72" t="s">
        <v>353</v>
      </c>
      <c r="C34" s="76" t="s">
        <v>130</v>
      </c>
      <c r="D34" s="76" t="s">
        <v>130</v>
      </c>
      <c r="E34" s="73" t="s">
        <v>5</v>
      </c>
      <c r="F34" s="74">
        <f t="shared" si="4"/>
        <v>4</v>
      </c>
      <c r="G34" s="74">
        <v>3.0</v>
      </c>
      <c r="H34" s="75" t="str">
        <f>IFERROR(__xludf.DUMMYFUNCTION("SPARKLINE(F34,{""charttype"",""bar"";""max"",5;""min"",1;""color1"",""#180c56""})"),"")</f>
        <v/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75" customHeight="1">
      <c r="A35" s="71" t="b">
        <v>0</v>
      </c>
      <c r="B35" s="72" t="s">
        <v>354</v>
      </c>
      <c r="C35" s="76" t="s">
        <v>130</v>
      </c>
      <c r="D35" s="76" t="s">
        <v>130</v>
      </c>
      <c r="E35" s="73" t="s">
        <v>5</v>
      </c>
      <c r="F35" s="74">
        <f t="shared" si="4"/>
        <v>4</v>
      </c>
      <c r="G35" s="74">
        <v>3.0</v>
      </c>
      <c r="H35" s="75" t="str">
        <f>IFERROR(__xludf.DUMMYFUNCTION("SPARKLINE(F35,{""charttype"",""bar"";""max"",5;""min"",1;""color1"",""#180c56""})"),"")</f>
        <v/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71" t="b">
        <v>0</v>
      </c>
      <c r="B36" s="72" t="s">
        <v>355</v>
      </c>
      <c r="C36" s="76" t="s">
        <v>130</v>
      </c>
      <c r="D36" s="76" t="s">
        <v>130</v>
      </c>
      <c r="E36" s="73" t="s">
        <v>5</v>
      </c>
      <c r="F36" s="74">
        <f t="shared" si="4"/>
        <v>4</v>
      </c>
      <c r="G36" s="74">
        <v>3.0</v>
      </c>
      <c r="H36" s="75" t="str">
        <f>IFERROR(__xludf.DUMMYFUNCTION("SPARKLINE(F36,{""charttype"",""bar"";""max"",5;""min"",1;""color1"",""#180c56""})"),"")</f>
        <v/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71" t="b">
        <v>0</v>
      </c>
      <c r="B37" s="72" t="s">
        <v>356</v>
      </c>
      <c r="C37" s="76" t="s">
        <v>130</v>
      </c>
      <c r="D37" s="76" t="s">
        <v>130</v>
      </c>
      <c r="E37" s="73" t="s">
        <v>5</v>
      </c>
      <c r="F37" s="74">
        <f t="shared" si="4"/>
        <v>4</v>
      </c>
      <c r="G37" s="74">
        <v>3.0</v>
      </c>
      <c r="H37" s="75" t="str">
        <f>IFERROR(__xludf.DUMMYFUNCTION("SPARKLINE(F37,{""charttype"",""bar"";""max"",5;""min"",1;""color1"",""#180c56""})"),"")</f>
        <v/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71" t="b">
        <v>0</v>
      </c>
      <c r="B38" s="72" t="s">
        <v>357</v>
      </c>
      <c r="C38" s="76" t="s">
        <v>130</v>
      </c>
      <c r="D38" s="76" t="s">
        <v>130</v>
      </c>
      <c r="E38" s="73" t="s">
        <v>5</v>
      </c>
      <c r="F38" s="74">
        <f t="shared" si="4"/>
        <v>4</v>
      </c>
      <c r="G38" s="74">
        <v>3.0</v>
      </c>
      <c r="H38" s="75" t="str">
        <f>IFERROR(__xludf.DUMMYFUNCTION("SPARKLINE(F38,{""charttype"",""bar"";""max"",5;""min"",1;""color1"",""#180c56""})"),"")</f>
        <v/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75" customHeight="1">
      <c r="A39" s="71" t="b">
        <v>0</v>
      </c>
      <c r="B39" s="72" t="s">
        <v>358</v>
      </c>
      <c r="C39" s="76" t="s">
        <v>130</v>
      </c>
      <c r="D39" s="76" t="s">
        <v>130</v>
      </c>
      <c r="E39" s="73" t="s">
        <v>5</v>
      </c>
      <c r="F39" s="74">
        <f t="shared" si="4"/>
        <v>4</v>
      </c>
      <c r="G39" s="74">
        <v>3.0</v>
      </c>
      <c r="H39" s="75" t="str">
        <f>IFERROR(__xludf.DUMMYFUNCTION("SPARKLINE(F39,{""charttype"",""bar"";""max"",5;""min"",1;""color1"",""#180c56""})"),"")</f>
        <v/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75" customHeight="1">
      <c r="A40" s="71" t="b">
        <v>0</v>
      </c>
      <c r="B40" s="72" t="s">
        <v>359</v>
      </c>
      <c r="C40" s="76" t="s">
        <v>130</v>
      </c>
      <c r="D40" s="76" t="s">
        <v>130</v>
      </c>
      <c r="E40" s="73" t="s">
        <v>5</v>
      </c>
      <c r="F40" s="74">
        <f t="shared" si="4"/>
        <v>4</v>
      </c>
      <c r="G40" s="74">
        <v>3.0</v>
      </c>
      <c r="H40" s="75" t="str">
        <f>IFERROR(__xludf.DUMMYFUNCTION("SPARKLINE(F40,{""charttype"",""bar"";""max"",5;""min"",1;""color1"",""#180c56""})"),"")</f>
        <v/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71" t="b">
        <v>0</v>
      </c>
      <c r="B41" s="72" t="s">
        <v>360</v>
      </c>
      <c r="C41" s="76" t="s">
        <v>130</v>
      </c>
      <c r="D41" s="76" t="s">
        <v>130</v>
      </c>
      <c r="E41" s="73" t="s">
        <v>5</v>
      </c>
      <c r="F41" s="74">
        <f t="shared" si="4"/>
        <v>4</v>
      </c>
      <c r="G41" s="74">
        <v>3.0</v>
      </c>
      <c r="H41" s="75" t="str">
        <f>IFERROR(__xludf.DUMMYFUNCTION("SPARKLINE(F41,{""charttype"",""bar"";""max"",5;""min"",1;""color1"",""#180c56""})"),"")</f>
        <v/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71" t="b">
        <v>0</v>
      </c>
      <c r="B42" s="72" t="s">
        <v>361</v>
      </c>
      <c r="C42" s="76" t="s">
        <v>130</v>
      </c>
      <c r="D42" s="76" t="s">
        <v>130</v>
      </c>
      <c r="E42" s="73" t="s">
        <v>5</v>
      </c>
      <c r="F42" s="74">
        <f t="shared" si="4"/>
        <v>4</v>
      </c>
      <c r="G42" s="74">
        <v>3.0</v>
      </c>
      <c r="H42" s="75" t="str">
        <f>IFERROR(__xludf.DUMMYFUNCTION("SPARKLINE(F42,{""charttype"",""bar"";""max"",5;""min"",1;""color1"",""#180c56""})"),"")</f>
        <v/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71" t="b">
        <v>0</v>
      </c>
      <c r="B43" s="72" t="s">
        <v>362</v>
      </c>
      <c r="C43" s="76" t="s">
        <v>130</v>
      </c>
      <c r="D43" s="76" t="s">
        <v>130</v>
      </c>
      <c r="E43" s="73" t="s">
        <v>5</v>
      </c>
      <c r="F43" s="74">
        <f t="shared" si="4"/>
        <v>4</v>
      </c>
      <c r="G43" s="74">
        <v>3.0</v>
      </c>
      <c r="H43" s="75" t="str">
        <f>IFERROR(__xludf.DUMMYFUNCTION("SPARKLINE(F43,{""charttype"",""bar"";""max"",5;""min"",1;""color1"",""#180c56""})"),"")</f>
        <v/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71" t="b">
        <v>0</v>
      </c>
      <c r="B44" s="72" t="s">
        <v>363</v>
      </c>
      <c r="C44" s="76" t="s">
        <v>130</v>
      </c>
      <c r="D44" s="76" t="s">
        <v>130</v>
      </c>
      <c r="E44" s="73" t="s">
        <v>5</v>
      </c>
      <c r="F44" s="74">
        <f t="shared" si="4"/>
        <v>4</v>
      </c>
      <c r="G44" s="74">
        <v>3.0</v>
      </c>
      <c r="H44" s="75" t="str">
        <f>IFERROR(__xludf.DUMMYFUNCTION("SPARKLINE(F44,{""charttype"",""bar"";""max"",5;""min"",1;""color1"",""#180c56""})"),"")</f>
        <v/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71" t="b">
        <v>0</v>
      </c>
      <c r="B45" s="72" t="s">
        <v>364</v>
      </c>
      <c r="C45" s="76" t="s">
        <v>130</v>
      </c>
      <c r="D45" s="76" t="s">
        <v>130</v>
      </c>
      <c r="E45" s="73" t="s">
        <v>5</v>
      </c>
      <c r="F45" s="74">
        <f t="shared" si="4"/>
        <v>4</v>
      </c>
      <c r="G45" s="74">
        <v>3.0</v>
      </c>
      <c r="H45" s="75" t="str">
        <f>IFERROR(__xludf.DUMMYFUNCTION("SPARKLINE(F45,{""charttype"",""bar"";""max"",5;""min"",1;""color1"",""#180c56""})"),"")</f>
        <v/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71" t="b">
        <v>0</v>
      </c>
      <c r="B46" s="72" t="s">
        <v>365</v>
      </c>
      <c r="C46" s="76" t="s">
        <v>130</v>
      </c>
      <c r="D46" s="76" t="s">
        <v>130</v>
      </c>
      <c r="E46" s="73" t="s">
        <v>5</v>
      </c>
      <c r="F46" s="74">
        <f t="shared" si="4"/>
        <v>4</v>
      </c>
      <c r="G46" s="74">
        <v>3.0</v>
      </c>
      <c r="H46" s="75" t="str">
        <f>IFERROR(__xludf.DUMMYFUNCTION("SPARKLINE(F46,{""charttype"",""bar"";""max"",5;""min"",1;""color1"",""#180c56""})"),"")</f>
        <v/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71" t="b">
        <v>0</v>
      </c>
      <c r="B47" s="72" t="s">
        <v>366</v>
      </c>
      <c r="C47" s="76" t="s">
        <v>130</v>
      </c>
      <c r="D47" s="76" t="s">
        <v>130</v>
      </c>
      <c r="E47" s="73" t="s">
        <v>5</v>
      </c>
      <c r="F47" s="74">
        <f t="shared" si="4"/>
        <v>4</v>
      </c>
      <c r="G47" s="74">
        <v>3.0</v>
      </c>
      <c r="H47" s="75" t="str">
        <f>IFERROR(__xludf.DUMMYFUNCTION("SPARKLINE(F47,{""charttype"",""bar"";""max"",5;""min"",1;""color1"",""#180c56""})"),"")</f>
        <v/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71" t="b">
        <v>0</v>
      </c>
      <c r="B48" s="72" t="s">
        <v>367</v>
      </c>
      <c r="C48" s="76" t="s">
        <v>130</v>
      </c>
      <c r="D48" s="76" t="s">
        <v>130</v>
      </c>
      <c r="E48" s="73" t="s">
        <v>5</v>
      </c>
      <c r="F48" s="74">
        <f t="shared" si="4"/>
        <v>4</v>
      </c>
      <c r="G48" s="74">
        <v>3.0</v>
      </c>
      <c r="H48" s="75" t="str">
        <f>IFERROR(__xludf.DUMMYFUNCTION("SPARKLINE(F48,{""charttype"",""bar"";""max"",5;""min"",1;""color1"",""#180c56""})"),"")</f>
        <v/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75" customHeight="1">
      <c r="A49" s="71" t="b">
        <v>0</v>
      </c>
      <c r="B49" s="72" t="s">
        <v>368</v>
      </c>
      <c r="C49" s="76" t="s">
        <v>130</v>
      </c>
      <c r="D49" s="76" t="s">
        <v>130</v>
      </c>
      <c r="E49" s="73" t="s">
        <v>5</v>
      </c>
      <c r="F49" s="74">
        <f t="shared" si="4"/>
        <v>4</v>
      </c>
      <c r="G49" s="74">
        <v>3.0</v>
      </c>
      <c r="H49" s="75" t="str">
        <f>IFERROR(__xludf.DUMMYFUNCTION("SPARKLINE(F49,{""charttype"",""bar"";""max"",5;""min"",1;""color1"",""#180c56""})"),"")</f>
        <v/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22.5" customHeight="1">
      <c r="A50" s="60" t="s">
        <v>369</v>
      </c>
      <c r="B50" s="61" t="s">
        <v>202</v>
      </c>
      <c r="C50" s="62"/>
      <c r="D50" s="62"/>
      <c r="E50" s="62"/>
      <c r="F50" s="62"/>
      <c r="G50" s="62"/>
      <c r="H50" s="63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ht="18.75" customHeight="1">
      <c r="A51" s="71" t="b">
        <v>0</v>
      </c>
      <c r="B51" s="72" t="s">
        <v>370</v>
      </c>
      <c r="C51" s="76" t="s">
        <v>130</v>
      </c>
      <c r="D51" s="76" t="s">
        <v>130</v>
      </c>
      <c r="E51" s="73" t="s">
        <v>5</v>
      </c>
      <c r="F51" s="74">
        <f t="shared" ref="F51:F58" si="5">IF(E51="Not Relevant","",IF(E51="Good","",IF(E51="Bad",2,1)))+G51</f>
        <v>4</v>
      </c>
      <c r="G51" s="74">
        <v>3.0</v>
      </c>
      <c r="H51" s="75" t="str">
        <f>IFERROR(__xludf.DUMMYFUNCTION("SPARKLINE(F51,{""charttype"",""bar"";""max"",5;""min"",1;""color1"",""#180c56""})"),"")</f>
        <v/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71" t="b">
        <v>0</v>
      </c>
      <c r="B52" s="72" t="s">
        <v>371</v>
      </c>
      <c r="C52" s="76" t="s">
        <v>130</v>
      </c>
      <c r="D52" s="76" t="s">
        <v>130</v>
      </c>
      <c r="E52" s="73" t="s">
        <v>5</v>
      </c>
      <c r="F52" s="74">
        <f t="shared" si="5"/>
        <v>4</v>
      </c>
      <c r="G52" s="74">
        <v>3.0</v>
      </c>
      <c r="H52" s="75" t="str">
        <f>IFERROR(__xludf.DUMMYFUNCTION("SPARKLINE(F52,{""charttype"",""bar"";""max"",5;""min"",1;""color1"",""#180c56""})"),"")</f>
        <v/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71" t="b">
        <v>0</v>
      </c>
      <c r="B53" s="72" t="s">
        <v>372</v>
      </c>
      <c r="C53" s="76" t="s">
        <v>130</v>
      </c>
      <c r="D53" s="76" t="s">
        <v>130</v>
      </c>
      <c r="E53" s="73" t="s">
        <v>5</v>
      </c>
      <c r="F53" s="74">
        <f t="shared" si="5"/>
        <v>4</v>
      </c>
      <c r="G53" s="74">
        <v>3.0</v>
      </c>
      <c r="H53" s="75" t="str">
        <f>IFERROR(__xludf.DUMMYFUNCTION("SPARKLINE(F53,{""charttype"",""bar"";""max"",5;""min"",1;""color1"",""#180c56""})"),"")</f>
        <v/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71" t="b">
        <v>0</v>
      </c>
      <c r="B54" s="72" t="s">
        <v>373</v>
      </c>
      <c r="C54" s="76" t="s">
        <v>130</v>
      </c>
      <c r="D54" s="76" t="s">
        <v>130</v>
      </c>
      <c r="E54" s="73" t="s">
        <v>5</v>
      </c>
      <c r="F54" s="74">
        <f t="shared" si="5"/>
        <v>4</v>
      </c>
      <c r="G54" s="74">
        <v>3.0</v>
      </c>
      <c r="H54" s="75" t="str">
        <f>IFERROR(__xludf.DUMMYFUNCTION("SPARKLINE(F54,{""charttype"",""bar"";""max"",5;""min"",1;""color1"",""#180c56""})"),"")</f>
        <v/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71" t="b">
        <v>0</v>
      </c>
      <c r="B55" s="72" t="s">
        <v>374</v>
      </c>
      <c r="C55" s="76" t="s">
        <v>130</v>
      </c>
      <c r="D55" s="76" t="s">
        <v>130</v>
      </c>
      <c r="E55" s="73" t="s">
        <v>5</v>
      </c>
      <c r="F55" s="74">
        <f t="shared" si="5"/>
        <v>4</v>
      </c>
      <c r="G55" s="74">
        <v>3.0</v>
      </c>
      <c r="H55" s="75" t="str">
        <f>IFERROR(__xludf.DUMMYFUNCTION("SPARKLINE(F55,{""charttype"",""bar"";""max"",5;""min"",1;""color1"",""#180c56""})"),"")</f>
        <v/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71" t="b">
        <v>0</v>
      </c>
      <c r="B56" s="72" t="s">
        <v>375</v>
      </c>
      <c r="C56" s="76" t="s">
        <v>130</v>
      </c>
      <c r="D56" s="76" t="s">
        <v>130</v>
      </c>
      <c r="E56" s="73" t="s">
        <v>5</v>
      </c>
      <c r="F56" s="74">
        <f t="shared" si="5"/>
        <v>4</v>
      </c>
      <c r="G56" s="74">
        <v>3.0</v>
      </c>
      <c r="H56" s="75" t="str">
        <f>IFERROR(__xludf.DUMMYFUNCTION("SPARKLINE(F56,{""charttype"",""bar"";""max"",5;""min"",1;""color1"",""#180c56""})"),"")</f>
        <v/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71" t="b">
        <v>0</v>
      </c>
      <c r="B57" s="72" t="s">
        <v>376</v>
      </c>
      <c r="C57" s="76" t="s">
        <v>130</v>
      </c>
      <c r="D57" s="76" t="s">
        <v>130</v>
      </c>
      <c r="E57" s="73" t="s">
        <v>5</v>
      </c>
      <c r="F57" s="74">
        <f t="shared" si="5"/>
        <v>4</v>
      </c>
      <c r="G57" s="74">
        <v>3.0</v>
      </c>
      <c r="H57" s="75" t="str">
        <f>IFERROR(__xludf.DUMMYFUNCTION("SPARKLINE(F57,{""charttype"",""bar"";""max"",5;""min"",1;""color1"",""#180c56""})"),"")</f>
        <v/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75" customHeight="1">
      <c r="A58" s="71" t="b">
        <v>0</v>
      </c>
      <c r="B58" s="72" t="s">
        <v>377</v>
      </c>
      <c r="C58" s="76" t="s">
        <v>130</v>
      </c>
      <c r="D58" s="76" t="s">
        <v>130</v>
      </c>
      <c r="E58" s="73" t="s">
        <v>5</v>
      </c>
      <c r="F58" s="74">
        <f t="shared" si="5"/>
        <v>4</v>
      </c>
      <c r="G58" s="74">
        <v>3.0</v>
      </c>
      <c r="H58" s="75" t="str">
        <f>IFERROR(__xludf.DUMMYFUNCTION("SPARKLINE(F58,{""charttype"",""bar"";""max"",5;""min"",1;""color1"",""#180c56""})"),"")</f>
        <v/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22.5" customHeight="1">
      <c r="A59" s="60" t="s">
        <v>378</v>
      </c>
      <c r="B59" s="61" t="s">
        <v>379</v>
      </c>
      <c r="C59" s="62"/>
      <c r="D59" s="62"/>
      <c r="E59" s="62"/>
      <c r="F59" s="62"/>
      <c r="G59" s="62"/>
      <c r="H59" s="63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ht="18.75" customHeight="1">
      <c r="A60" s="71" t="b">
        <v>0</v>
      </c>
      <c r="B60" s="72" t="s">
        <v>380</v>
      </c>
      <c r="C60" s="84" t="s">
        <v>130</v>
      </c>
      <c r="D60" s="84" t="s">
        <v>130</v>
      </c>
      <c r="E60" s="73" t="s">
        <v>5</v>
      </c>
      <c r="F60" s="74">
        <f t="shared" ref="F60:F67" si="6">IF(E60="Not Relevant","",IF(E60="Good","",IF(E60="Bad",2,1)))+G60</f>
        <v>4</v>
      </c>
      <c r="G60" s="74">
        <v>3.0</v>
      </c>
      <c r="H60" s="75" t="str">
        <f>IFERROR(__xludf.DUMMYFUNCTION("SPARKLINE(F60,{""charttype"",""bar"";""max"",5;""min"",1;""color1"",""#180c56""})"),"")</f>
        <v/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71" t="b">
        <v>0</v>
      </c>
      <c r="B61" s="72" t="s">
        <v>381</v>
      </c>
      <c r="C61" s="84" t="s">
        <v>130</v>
      </c>
      <c r="D61" s="84" t="s">
        <v>130</v>
      </c>
      <c r="E61" s="73" t="s">
        <v>5</v>
      </c>
      <c r="F61" s="74">
        <f t="shared" si="6"/>
        <v>4</v>
      </c>
      <c r="G61" s="74">
        <v>3.0</v>
      </c>
      <c r="H61" s="75" t="str">
        <f>IFERROR(__xludf.DUMMYFUNCTION("SPARKLINE(F61,{""charttype"",""bar"";""max"",5;""min"",1;""color1"",""#180c56""})"),"")</f>
        <v/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71" t="b">
        <v>0</v>
      </c>
      <c r="B62" s="72" t="s">
        <v>382</v>
      </c>
      <c r="C62" s="84" t="s">
        <v>130</v>
      </c>
      <c r="D62" s="84" t="s">
        <v>130</v>
      </c>
      <c r="E62" s="73" t="s">
        <v>5</v>
      </c>
      <c r="F62" s="74">
        <f t="shared" si="6"/>
        <v>4</v>
      </c>
      <c r="G62" s="74">
        <v>3.0</v>
      </c>
      <c r="H62" s="75" t="str">
        <f>IFERROR(__xludf.DUMMYFUNCTION("SPARKLINE(F62,{""charttype"",""bar"";""max"",5;""min"",1;""color1"",""#180c56""})"),"")</f>
        <v/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71" t="b">
        <v>0</v>
      </c>
      <c r="B63" s="72" t="s">
        <v>383</v>
      </c>
      <c r="C63" s="84" t="s">
        <v>130</v>
      </c>
      <c r="D63" s="84" t="s">
        <v>130</v>
      </c>
      <c r="E63" s="73" t="s">
        <v>5</v>
      </c>
      <c r="F63" s="74">
        <f t="shared" si="6"/>
        <v>4</v>
      </c>
      <c r="G63" s="74">
        <v>3.0</v>
      </c>
      <c r="H63" s="75" t="str">
        <f>IFERROR(__xludf.DUMMYFUNCTION("SPARKLINE(F63,{""charttype"",""bar"";""max"",5;""min"",1;""color1"",""#180c56""})"),"")</f>
        <v/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71" t="b">
        <v>0</v>
      </c>
      <c r="B64" s="72" t="s">
        <v>384</v>
      </c>
      <c r="C64" s="84" t="s">
        <v>130</v>
      </c>
      <c r="D64" s="84" t="s">
        <v>130</v>
      </c>
      <c r="E64" s="73" t="s">
        <v>5</v>
      </c>
      <c r="F64" s="74">
        <f t="shared" si="6"/>
        <v>4</v>
      </c>
      <c r="G64" s="74">
        <v>3.0</v>
      </c>
      <c r="H64" s="75" t="str">
        <f>IFERROR(__xludf.DUMMYFUNCTION("SPARKLINE(F64,{""charttype"",""bar"";""max"",5;""min"",1;""color1"",""#180c56""})"),"")</f>
        <v/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71" t="b">
        <v>0</v>
      </c>
      <c r="B65" s="72" t="s">
        <v>385</v>
      </c>
      <c r="C65" s="84" t="s">
        <v>130</v>
      </c>
      <c r="D65" s="84" t="s">
        <v>130</v>
      </c>
      <c r="E65" s="73" t="s">
        <v>5</v>
      </c>
      <c r="F65" s="74">
        <f t="shared" si="6"/>
        <v>4</v>
      </c>
      <c r="G65" s="74">
        <v>3.0</v>
      </c>
      <c r="H65" s="75" t="str">
        <f>IFERROR(__xludf.DUMMYFUNCTION("SPARKLINE(F65,{""charttype"",""bar"";""max"",5;""min"",1;""color1"",""#180c56""})"),"")</f>
        <v/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71" t="b">
        <v>0</v>
      </c>
      <c r="B66" s="72" t="s">
        <v>386</v>
      </c>
      <c r="C66" s="84" t="s">
        <v>130</v>
      </c>
      <c r="D66" s="84" t="s">
        <v>130</v>
      </c>
      <c r="E66" s="73" t="s">
        <v>5</v>
      </c>
      <c r="F66" s="74">
        <f t="shared" si="6"/>
        <v>4</v>
      </c>
      <c r="G66" s="74">
        <v>3.0</v>
      </c>
      <c r="H66" s="75" t="str">
        <f>IFERROR(__xludf.DUMMYFUNCTION("SPARKLINE(F66,{""charttype"",""bar"";""max"",5;""min"",1;""color1"",""#180c56""})"),"")</f>
        <v/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71" t="b">
        <v>0</v>
      </c>
      <c r="B67" s="72" t="s">
        <v>387</v>
      </c>
      <c r="C67" s="84" t="s">
        <v>130</v>
      </c>
      <c r="D67" s="84" t="s">
        <v>130</v>
      </c>
      <c r="E67" s="73" t="s">
        <v>5</v>
      </c>
      <c r="F67" s="74">
        <f t="shared" si="6"/>
        <v>4</v>
      </c>
      <c r="G67" s="74">
        <v>3.0</v>
      </c>
      <c r="H67" s="75" t="str">
        <f>IFERROR(__xludf.DUMMYFUNCTION("SPARKLINE(F67,{""charttype"",""bar"";""max"",5;""min"",1;""color1"",""#180c56""})"),"")</f>
        <v/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22.5" customHeight="1">
      <c r="A68" s="60" t="s">
        <v>388</v>
      </c>
      <c r="B68" s="61" t="s">
        <v>389</v>
      </c>
      <c r="C68" s="62"/>
      <c r="D68" s="62"/>
      <c r="E68" s="62"/>
      <c r="F68" s="62"/>
      <c r="G68" s="62"/>
      <c r="H68" s="63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18.75" customHeight="1">
      <c r="A69" s="71" t="b">
        <v>0</v>
      </c>
      <c r="B69" s="72" t="s">
        <v>390</v>
      </c>
      <c r="C69" s="84" t="s">
        <v>130</v>
      </c>
      <c r="D69" s="88" t="s">
        <v>130</v>
      </c>
      <c r="E69" s="73" t="s">
        <v>5</v>
      </c>
      <c r="F69" s="74">
        <f t="shared" ref="F69:F78" si="7">IF(E69="Not Relevant","",IF(E69="Good","",IF(E69="Bad",2,1)))+G69</f>
        <v>4</v>
      </c>
      <c r="G69" s="74">
        <v>3.0</v>
      </c>
      <c r="H69" s="75" t="str">
        <f>IFERROR(__xludf.DUMMYFUNCTION("SPARKLINE(F69,{""charttype"",""bar"";""max"",5;""min"",1;""color1"",""#180c56""})"),"")</f>
        <v/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71" t="b">
        <v>0</v>
      </c>
      <c r="B70" s="72" t="s">
        <v>391</v>
      </c>
      <c r="C70" s="84" t="s">
        <v>130</v>
      </c>
      <c r="D70" s="88" t="s">
        <v>130</v>
      </c>
      <c r="E70" s="73" t="s">
        <v>5</v>
      </c>
      <c r="F70" s="74">
        <f t="shared" si="7"/>
        <v>4</v>
      </c>
      <c r="G70" s="74">
        <v>3.0</v>
      </c>
      <c r="H70" s="75" t="str">
        <f>IFERROR(__xludf.DUMMYFUNCTION("SPARKLINE(F70,{""charttype"",""bar"";""max"",5;""min"",1;""color1"",""#180c56""})"),"")</f>
        <v/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71" t="b">
        <v>0</v>
      </c>
      <c r="B71" s="72" t="s">
        <v>392</v>
      </c>
      <c r="C71" s="84" t="s">
        <v>130</v>
      </c>
      <c r="D71" s="88" t="s">
        <v>130</v>
      </c>
      <c r="E71" s="73" t="s">
        <v>5</v>
      </c>
      <c r="F71" s="74">
        <f t="shared" si="7"/>
        <v>4</v>
      </c>
      <c r="G71" s="74">
        <v>3.0</v>
      </c>
      <c r="H71" s="75" t="str">
        <f>IFERROR(__xludf.DUMMYFUNCTION("SPARKLINE(F71,{""charttype"",""bar"";""max"",5;""min"",1;""color1"",""#180c56""})"),"")</f>
        <v/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71" t="b">
        <v>0</v>
      </c>
      <c r="B72" s="72" t="s">
        <v>393</v>
      </c>
      <c r="C72" s="84" t="s">
        <v>130</v>
      </c>
      <c r="D72" s="88" t="s">
        <v>130</v>
      </c>
      <c r="E72" s="73" t="s">
        <v>5</v>
      </c>
      <c r="F72" s="74">
        <f t="shared" si="7"/>
        <v>4</v>
      </c>
      <c r="G72" s="74">
        <v>3.0</v>
      </c>
      <c r="H72" s="75" t="str">
        <f>IFERROR(__xludf.DUMMYFUNCTION("SPARKLINE(F72,{""charttype"",""bar"";""max"",5;""min"",1;""color1"",""#180c56""})"),"")</f>
        <v/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71" t="b">
        <v>0</v>
      </c>
      <c r="B73" s="72" t="s">
        <v>394</v>
      </c>
      <c r="C73" s="84" t="s">
        <v>130</v>
      </c>
      <c r="D73" s="88" t="s">
        <v>130</v>
      </c>
      <c r="E73" s="73" t="s">
        <v>5</v>
      </c>
      <c r="F73" s="74">
        <f t="shared" si="7"/>
        <v>4</v>
      </c>
      <c r="G73" s="74">
        <v>3.0</v>
      </c>
      <c r="H73" s="75" t="str">
        <f>IFERROR(__xludf.DUMMYFUNCTION("SPARKLINE(F73,{""charttype"",""bar"";""max"",5;""min"",1;""color1"",""#180c56""})"),"")</f>
        <v/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71" t="b">
        <v>0</v>
      </c>
      <c r="B74" s="72" t="s">
        <v>395</v>
      </c>
      <c r="C74" s="84" t="s">
        <v>130</v>
      </c>
      <c r="D74" s="88" t="s">
        <v>130</v>
      </c>
      <c r="E74" s="73" t="s">
        <v>5</v>
      </c>
      <c r="F74" s="74">
        <f t="shared" si="7"/>
        <v>4</v>
      </c>
      <c r="G74" s="74">
        <v>3.0</v>
      </c>
      <c r="H74" s="75" t="str">
        <f>IFERROR(__xludf.DUMMYFUNCTION("SPARKLINE(F74,{""charttype"",""bar"";""max"",5;""min"",1;""color1"",""#180c56""})"),"")</f>
        <v/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71" t="b">
        <v>0</v>
      </c>
      <c r="B75" s="72" t="s">
        <v>396</v>
      </c>
      <c r="C75" s="84" t="s">
        <v>130</v>
      </c>
      <c r="D75" s="88" t="s">
        <v>130</v>
      </c>
      <c r="E75" s="73" t="s">
        <v>5</v>
      </c>
      <c r="F75" s="74">
        <f t="shared" si="7"/>
        <v>4</v>
      </c>
      <c r="G75" s="74">
        <v>3.0</v>
      </c>
      <c r="H75" s="75" t="str">
        <f>IFERROR(__xludf.DUMMYFUNCTION("SPARKLINE(F75,{""charttype"",""bar"";""max"",5;""min"",1;""color1"",""#180c56""})"),"")</f>
        <v/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71" t="b">
        <v>0</v>
      </c>
      <c r="B76" s="72" t="s">
        <v>397</v>
      </c>
      <c r="C76" s="84" t="s">
        <v>130</v>
      </c>
      <c r="D76" s="88" t="s">
        <v>130</v>
      </c>
      <c r="E76" s="73" t="s">
        <v>5</v>
      </c>
      <c r="F76" s="74">
        <f t="shared" si="7"/>
        <v>4</v>
      </c>
      <c r="G76" s="74">
        <v>3.0</v>
      </c>
      <c r="H76" s="75" t="str">
        <f>IFERROR(__xludf.DUMMYFUNCTION("SPARKLINE(F76,{""charttype"",""bar"";""max"",5;""min"",1;""color1"",""#180c56""})"),"")</f>
        <v/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71" t="b">
        <v>0</v>
      </c>
      <c r="B77" s="72" t="s">
        <v>398</v>
      </c>
      <c r="C77" s="84" t="s">
        <v>130</v>
      </c>
      <c r="D77" s="88" t="s">
        <v>130</v>
      </c>
      <c r="E77" s="73" t="s">
        <v>5</v>
      </c>
      <c r="F77" s="74">
        <f t="shared" si="7"/>
        <v>4</v>
      </c>
      <c r="G77" s="74">
        <v>3.0</v>
      </c>
      <c r="H77" s="75" t="str">
        <f>IFERROR(__xludf.DUMMYFUNCTION("SPARKLINE(F77,{""charttype"",""bar"";""max"",5;""min"",1;""color1"",""#180c56""})"),"")</f>
        <v/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77" t="b">
        <v>0</v>
      </c>
      <c r="B78" s="78" t="s">
        <v>399</v>
      </c>
      <c r="C78" s="84" t="s">
        <v>130</v>
      </c>
      <c r="D78" s="88" t="s">
        <v>130</v>
      </c>
      <c r="E78" s="80" t="s">
        <v>5</v>
      </c>
      <c r="F78" s="81">
        <f t="shared" si="7"/>
        <v>4</v>
      </c>
      <c r="G78" s="81">
        <v>3.0</v>
      </c>
      <c r="H78" s="82" t="str">
        <f>IFERROR(__xludf.DUMMYFUNCTION("SPARKLINE(F78,{""charttype"",""bar"";""max"",5;""min"",1;""color1"",""#180c56""})"),"")</f>
        <v/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8.75" customHeight="1">
      <c r="A960" s="37"/>
      <c r="B960" s="83"/>
      <c r="C960" s="37"/>
      <c r="D960" s="37"/>
      <c r="E960" s="37"/>
      <c r="F960" s="37"/>
      <c r="G960" s="3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8.75" customHeight="1">
      <c r="A961" s="37"/>
      <c r="B961" s="83"/>
      <c r="C961" s="37"/>
      <c r="D961" s="37"/>
      <c r="E961" s="37"/>
      <c r="F961" s="37"/>
      <c r="G961" s="3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8.75" customHeight="1">
      <c r="A962" s="37"/>
      <c r="B962" s="83"/>
      <c r="C962" s="37"/>
      <c r="D962" s="37"/>
      <c r="E962" s="37"/>
      <c r="F962" s="37"/>
      <c r="G962" s="3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8.75" customHeight="1">
      <c r="A963" s="37"/>
      <c r="B963" s="83"/>
      <c r="C963" s="37"/>
      <c r="D963" s="37"/>
      <c r="E963" s="37"/>
      <c r="F963" s="37"/>
      <c r="G963" s="3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8.75" customHeight="1">
      <c r="A964" s="37"/>
      <c r="B964" s="83"/>
      <c r="C964" s="37"/>
      <c r="D964" s="37"/>
      <c r="E964" s="37"/>
      <c r="F964" s="37"/>
      <c r="G964" s="3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8.75" customHeight="1">
      <c r="A965" s="37"/>
      <c r="B965" s="83"/>
      <c r="C965" s="37"/>
      <c r="D965" s="37"/>
      <c r="E965" s="37"/>
      <c r="F965" s="37"/>
      <c r="G965" s="3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8.75" customHeight="1">
      <c r="A966" s="37"/>
      <c r="B966" s="83"/>
      <c r="C966" s="37"/>
      <c r="D966" s="37"/>
      <c r="E966" s="37"/>
      <c r="F966" s="37"/>
      <c r="G966" s="3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8.75" customHeight="1">
      <c r="A967" s="37"/>
      <c r="B967" s="83"/>
      <c r="C967" s="37"/>
      <c r="D967" s="37"/>
      <c r="E967" s="37"/>
      <c r="F967" s="37"/>
      <c r="G967" s="3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8.75" customHeight="1">
      <c r="A968" s="37"/>
      <c r="B968" s="83"/>
      <c r="C968" s="37"/>
      <c r="D968" s="37"/>
      <c r="E968" s="37"/>
      <c r="F968" s="37"/>
      <c r="G968" s="3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8.75" customHeight="1">
      <c r="A969" s="37"/>
      <c r="B969" s="83"/>
      <c r="C969" s="37"/>
      <c r="D969" s="37"/>
      <c r="E969" s="37"/>
      <c r="F969" s="37"/>
      <c r="G969" s="3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8.75" customHeight="1">
      <c r="A970" s="37"/>
      <c r="B970" s="83"/>
      <c r="C970" s="37"/>
      <c r="D970" s="37"/>
      <c r="E970" s="37"/>
      <c r="F970" s="37"/>
      <c r="G970" s="3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8.75" customHeight="1">
      <c r="A971" s="37"/>
      <c r="B971" s="83"/>
      <c r="C971" s="37"/>
      <c r="D971" s="37"/>
      <c r="E971" s="37"/>
      <c r="F971" s="37"/>
      <c r="G971" s="3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8.75" customHeight="1">
      <c r="A972" s="37"/>
      <c r="B972" s="83"/>
      <c r="C972" s="37"/>
      <c r="D972" s="37"/>
      <c r="E972" s="37"/>
      <c r="F972" s="37"/>
      <c r="G972" s="37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8.75" customHeight="1">
      <c r="A973" s="37"/>
      <c r="B973" s="83"/>
      <c r="C973" s="37"/>
      <c r="D973" s="37"/>
      <c r="E973" s="37"/>
      <c r="F973" s="37"/>
      <c r="G973" s="37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8.75" customHeight="1">
      <c r="A974" s="37"/>
      <c r="B974" s="83"/>
      <c r="C974" s="37"/>
      <c r="D974" s="37"/>
      <c r="E974" s="37"/>
      <c r="F974" s="37"/>
      <c r="G974" s="37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8.75" customHeight="1">
      <c r="A975" s="37"/>
      <c r="B975" s="83"/>
      <c r="C975" s="37"/>
      <c r="D975" s="37"/>
      <c r="E975" s="37"/>
      <c r="F975" s="37"/>
      <c r="G975" s="37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8.75" customHeight="1">
      <c r="A976" s="37"/>
      <c r="B976" s="83"/>
      <c r="C976" s="37"/>
      <c r="D976" s="37"/>
      <c r="E976" s="37"/>
      <c r="F976" s="37"/>
      <c r="G976" s="37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8.75" customHeight="1">
      <c r="A977" s="37"/>
      <c r="B977" s="83"/>
      <c r="C977" s="37"/>
      <c r="D977" s="37"/>
      <c r="E977" s="37"/>
      <c r="F977" s="37"/>
      <c r="G977" s="37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8.75" customHeight="1">
      <c r="A978" s="37"/>
      <c r="B978" s="83"/>
      <c r="C978" s="37"/>
      <c r="D978" s="37"/>
      <c r="E978" s="37"/>
      <c r="F978" s="37"/>
      <c r="G978" s="37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8.75" customHeight="1">
      <c r="A979" s="37"/>
      <c r="B979" s="83"/>
      <c r="C979" s="37"/>
      <c r="D979" s="37"/>
      <c r="E979" s="37"/>
      <c r="F979" s="37"/>
      <c r="G979" s="37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8.75" customHeight="1">
      <c r="A980" s="37"/>
      <c r="B980" s="83"/>
      <c r="C980" s="37"/>
      <c r="D980" s="37"/>
      <c r="E980" s="37"/>
      <c r="F980" s="37"/>
      <c r="G980" s="37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8.75" customHeight="1">
      <c r="A981" s="37"/>
      <c r="B981" s="83"/>
      <c r="C981" s="37"/>
      <c r="D981" s="37"/>
      <c r="E981" s="37"/>
      <c r="F981" s="37"/>
      <c r="G981" s="37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8.75" customHeight="1">
      <c r="A982" s="37"/>
      <c r="B982" s="83"/>
      <c r="C982" s="37"/>
      <c r="D982" s="37"/>
      <c r="E982" s="37"/>
      <c r="F982" s="37"/>
      <c r="G982" s="37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8.75" customHeight="1">
      <c r="A983" s="37"/>
      <c r="B983" s="83"/>
      <c r="C983" s="37"/>
      <c r="D983" s="37"/>
      <c r="E983" s="37"/>
      <c r="F983" s="37"/>
      <c r="G983" s="37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8.75" customHeight="1">
      <c r="A984" s="37"/>
      <c r="B984" s="83"/>
      <c r="C984" s="37"/>
      <c r="D984" s="37"/>
      <c r="E984" s="37"/>
      <c r="F984" s="37"/>
      <c r="G984" s="37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8.75" customHeight="1">
      <c r="A985" s="37"/>
      <c r="B985" s="83"/>
      <c r="C985" s="37"/>
      <c r="D985" s="37"/>
      <c r="E985" s="37"/>
      <c r="F985" s="37"/>
      <c r="G985" s="37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8.75" customHeight="1">
      <c r="A986" s="37"/>
      <c r="B986" s="83"/>
      <c r="C986" s="37"/>
      <c r="D986" s="37"/>
      <c r="E986" s="37"/>
      <c r="F986" s="37"/>
      <c r="G986" s="37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8.75" customHeight="1">
      <c r="A987" s="37"/>
      <c r="B987" s="83"/>
      <c r="C987" s="37"/>
      <c r="D987" s="37"/>
      <c r="E987" s="37"/>
      <c r="F987" s="37"/>
      <c r="G987" s="37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8.75" customHeight="1">
      <c r="A988" s="37"/>
      <c r="B988" s="83"/>
      <c r="C988" s="37"/>
      <c r="D988" s="37"/>
      <c r="E988" s="37"/>
      <c r="F988" s="37"/>
      <c r="G988" s="37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8.75" customHeight="1">
      <c r="A989" s="37"/>
      <c r="B989" s="83"/>
      <c r="C989" s="37"/>
      <c r="D989" s="37"/>
      <c r="E989" s="37"/>
      <c r="F989" s="37"/>
      <c r="G989" s="37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8.75" customHeight="1">
      <c r="A990" s="37"/>
      <c r="B990" s="83"/>
      <c r="C990" s="37"/>
      <c r="D990" s="37"/>
      <c r="E990" s="37"/>
      <c r="F990" s="37"/>
      <c r="G990" s="37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8.75" customHeight="1">
      <c r="A991" s="37"/>
      <c r="B991" s="83"/>
      <c r="C991" s="37"/>
      <c r="D991" s="37"/>
      <c r="E991" s="37"/>
      <c r="F991" s="37"/>
      <c r="G991" s="37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ht="18.75" customHeight="1">
      <c r="A992" s="37"/>
      <c r="B992" s="83"/>
      <c r="C992" s="37"/>
      <c r="D992" s="37"/>
      <c r="E992" s="37"/>
      <c r="F992" s="37"/>
      <c r="G992" s="37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ht="18.75" customHeight="1">
      <c r="A993" s="37"/>
      <c r="B993" s="83"/>
      <c r="C993" s="37"/>
      <c r="D993" s="37"/>
      <c r="E993" s="37"/>
      <c r="F993" s="37"/>
      <c r="G993" s="37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ht="18.75" customHeight="1">
      <c r="A994" s="37"/>
      <c r="B994" s="83"/>
      <c r="C994" s="37"/>
      <c r="D994" s="37"/>
      <c r="E994" s="37"/>
      <c r="F994" s="37"/>
      <c r="G994" s="37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ht="18.75" customHeight="1">
      <c r="A995" s="37"/>
      <c r="B995" s="83"/>
      <c r="C995" s="37"/>
      <c r="D995" s="37"/>
      <c r="E995" s="37"/>
      <c r="F995" s="37"/>
      <c r="G995" s="37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ht="18.75" customHeight="1">
      <c r="A996" s="37"/>
      <c r="B996" s="83"/>
      <c r="C996" s="37"/>
      <c r="D996" s="37"/>
      <c r="E996" s="37"/>
      <c r="F996" s="37"/>
      <c r="G996" s="37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ht="18.75" customHeight="1">
      <c r="A997" s="37"/>
      <c r="B997" s="83"/>
      <c r="C997" s="37"/>
      <c r="D997" s="37"/>
      <c r="E997" s="37"/>
      <c r="F997" s="37"/>
      <c r="G997" s="37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ht="18.75" customHeight="1">
      <c r="A998" s="37"/>
      <c r="B998" s="83"/>
      <c r="C998" s="37"/>
      <c r="D998" s="37"/>
      <c r="E998" s="37"/>
      <c r="F998" s="37"/>
      <c r="G998" s="37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ht="18.75" customHeight="1">
      <c r="A999" s="37"/>
      <c r="B999" s="83"/>
      <c r="C999" s="37"/>
      <c r="D999" s="37"/>
      <c r="E999" s="37"/>
      <c r="F999" s="37"/>
      <c r="G999" s="37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ht="18.75" customHeight="1">
      <c r="A1000" s="37"/>
      <c r="B1000" s="83"/>
      <c r="C1000" s="37"/>
      <c r="D1000" s="37"/>
      <c r="E1000" s="37"/>
      <c r="F1000" s="37"/>
      <c r="G1000" s="37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 ht="18.75" customHeight="1">
      <c r="A1001" s="37"/>
      <c r="B1001" s="83"/>
      <c r="C1001" s="37"/>
      <c r="D1001" s="37"/>
      <c r="E1001" s="37"/>
      <c r="F1001" s="37"/>
      <c r="G1001" s="37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 ht="18.75" customHeight="1">
      <c r="A1002" s="37"/>
      <c r="B1002" s="83"/>
      <c r="C1002" s="37"/>
      <c r="D1002" s="37"/>
      <c r="E1002" s="37"/>
      <c r="F1002" s="37"/>
      <c r="G1002" s="37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 ht="18.75" customHeight="1">
      <c r="A1003" s="37"/>
      <c r="B1003" s="83"/>
      <c r="C1003" s="37"/>
      <c r="D1003" s="37"/>
      <c r="E1003" s="37"/>
      <c r="F1003" s="37"/>
      <c r="G1003" s="37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</row>
    <row r="1004" ht="18.75" customHeight="1">
      <c r="A1004" s="37"/>
      <c r="B1004" s="83"/>
      <c r="C1004" s="37"/>
      <c r="D1004" s="37"/>
      <c r="E1004" s="37"/>
      <c r="F1004" s="37"/>
      <c r="G1004" s="37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</row>
    <row r="1005" ht="18.75" customHeight="1">
      <c r="A1005" s="37"/>
      <c r="B1005" s="83"/>
      <c r="C1005" s="37"/>
      <c r="D1005" s="37"/>
      <c r="E1005" s="37"/>
      <c r="F1005" s="37"/>
      <c r="G1005" s="37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</row>
    <row r="1006" ht="18.75" customHeight="1">
      <c r="A1006" s="37"/>
      <c r="B1006" s="83"/>
      <c r="C1006" s="37"/>
      <c r="D1006" s="37"/>
      <c r="E1006" s="37"/>
      <c r="F1006" s="37"/>
      <c r="G1006" s="37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</row>
    <row r="1007" ht="18.75" customHeight="1">
      <c r="A1007" s="37"/>
      <c r="B1007" s="83"/>
      <c r="C1007" s="37"/>
      <c r="D1007" s="37"/>
      <c r="E1007" s="37"/>
      <c r="F1007" s="37"/>
      <c r="G1007" s="37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</row>
    <row r="1008" ht="18.75" customHeight="1">
      <c r="A1008" s="37"/>
      <c r="B1008" s="83"/>
      <c r="C1008" s="37"/>
      <c r="D1008" s="37"/>
      <c r="E1008" s="37"/>
      <c r="F1008" s="37"/>
      <c r="G1008" s="37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</row>
    <row r="1009" ht="18.75" customHeight="1">
      <c r="A1009" s="37"/>
      <c r="B1009" s="83"/>
      <c r="C1009" s="37"/>
      <c r="D1009" s="37"/>
      <c r="E1009" s="37"/>
      <c r="F1009" s="37"/>
      <c r="G1009" s="37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</row>
    <row r="1010" ht="18.75" customHeight="1">
      <c r="A1010" s="37"/>
      <c r="B1010" s="83"/>
      <c r="C1010" s="37"/>
      <c r="D1010" s="37"/>
      <c r="E1010" s="37"/>
      <c r="F1010" s="37"/>
      <c r="G1010" s="37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</row>
    <row r="1011" ht="18.75" customHeight="1">
      <c r="A1011" s="37"/>
      <c r="B1011" s="83"/>
      <c r="C1011" s="37"/>
      <c r="D1011" s="37"/>
      <c r="E1011" s="37"/>
      <c r="F1011" s="37"/>
      <c r="G1011" s="37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</row>
    <row r="1012" ht="18.75" customHeight="1">
      <c r="A1012" s="37"/>
      <c r="B1012" s="83"/>
      <c r="C1012" s="37"/>
      <c r="D1012" s="37"/>
      <c r="E1012" s="37"/>
      <c r="F1012" s="37"/>
      <c r="G1012" s="37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</row>
    <row r="1013" ht="18.75" customHeight="1">
      <c r="A1013" s="37"/>
      <c r="B1013" s="83"/>
      <c r="C1013" s="37"/>
      <c r="D1013" s="37"/>
      <c r="E1013" s="37"/>
      <c r="F1013" s="37"/>
      <c r="G1013" s="37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</row>
    <row r="1014" ht="18.75" customHeight="1">
      <c r="A1014" s="37"/>
      <c r="B1014" s="83"/>
      <c r="C1014" s="37"/>
      <c r="D1014" s="37"/>
      <c r="E1014" s="37"/>
      <c r="F1014" s="37"/>
      <c r="G1014" s="37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</row>
    <row r="1015" ht="18.75" customHeight="1">
      <c r="A1015" s="37"/>
      <c r="B1015" s="83"/>
      <c r="C1015" s="37"/>
      <c r="D1015" s="37"/>
      <c r="E1015" s="37"/>
      <c r="F1015" s="37"/>
      <c r="G1015" s="37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</row>
    <row r="1016" ht="18.75" customHeight="1">
      <c r="A1016" s="37"/>
      <c r="B1016" s="83"/>
      <c r="C1016" s="37"/>
      <c r="D1016" s="37"/>
      <c r="E1016" s="37"/>
      <c r="F1016" s="37"/>
      <c r="G1016" s="37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</row>
    <row r="1017" ht="18.75" customHeight="1">
      <c r="A1017" s="37"/>
      <c r="B1017" s="83"/>
      <c r="C1017" s="37"/>
      <c r="D1017" s="37"/>
      <c r="E1017" s="37"/>
      <c r="F1017" s="37"/>
      <c r="G1017" s="37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</row>
    <row r="1018" ht="18.75" customHeight="1">
      <c r="A1018" s="37"/>
      <c r="B1018" s="83"/>
      <c r="C1018" s="37"/>
      <c r="D1018" s="37"/>
      <c r="E1018" s="37"/>
      <c r="F1018" s="37"/>
      <c r="G1018" s="37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</row>
    <row r="1019" ht="18.75" customHeight="1">
      <c r="A1019" s="37"/>
      <c r="B1019" s="83"/>
      <c r="C1019" s="37"/>
      <c r="D1019" s="37"/>
      <c r="E1019" s="37"/>
      <c r="F1019" s="37"/>
      <c r="G1019" s="37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</row>
    <row r="1020" ht="18.75" customHeight="1">
      <c r="A1020" s="37"/>
      <c r="B1020" s="83"/>
      <c r="C1020" s="37"/>
      <c r="D1020" s="37"/>
      <c r="E1020" s="37"/>
      <c r="F1020" s="37"/>
      <c r="G1020" s="37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 ht="18.75" customHeight="1">
      <c r="A1021" s="37"/>
      <c r="B1021" s="83"/>
      <c r="C1021" s="37"/>
      <c r="D1021" s="37"/>
      <c r="E1021" s="37"/>
      <c r="F1021" s="37"/>
      <c r="G1021" s="37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</row>
    <row r="1022" ht="18.75" customHeight="1">
      <c r="A1022" s="37"/>
      <c r="B1022" s="83"/>
      <c r="C1022" s="37"/>
      <c r="D1022" s="37"/>
      <c r="E1022" s="37"/>
      <c r="F1022" s="37"/>
      <c r="G1022" s="37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</row>
    <row r="1023" ht="18.75" customHeight="1">
      <c r="A1023" s="37"/>
      <c r="B1023" s="83"/>
      <c r="C1023" s="37"/>
      <c r="D1023" s="37"/>
      <c r="E1023" s="37"/>
      <c r="F1023" s="37"/>
      <c r="G1023" s="37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</row>
    <row r="1024" ht="18.75" customHeight="1">
      <c r="A1024" s="37"/>
      <c r="B1024" s="83"/>
      <c r="C1024" s="37"/>
      <c r="D1024" s="37"/>
      <c r="E1024" s="37"/>
      <c r="F1024" s="37"/>
      <c r="G1024" s="37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</row>
    <row r="1025" ht="18.75" customHeight="1">
      <c r="A1025" s="37"/>
      <c r="B1025" s="83"/>
      <c r="C1025" s="37"/>
      <c r="D1025" s="37"/>
      <c r="E1025" s="37"/>
      <c r="F1025" s="37"/>
      <c r="G1025" s="37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</row>
  </sheetData>
  <conditionalFormatting sqref="B3:B78">
    <cfRule type="expression" dxfId="2" priority="1">
      <formula>$A3=TRUE</formula>
    </cfRule>
  </conditionalFormatting>
  <conditionalFormatting sqref="A3:H78">
    <cfRule type="expression" dxfId="0" priority="2">
      <formula>$A3=TRUE</formula>
    </cfRule>
  </conditionalFormatting>
  <conditionalFormatting sqref="E3:E78">
    <cfRule type="cellIs" dxfId="3" priority="3" operator="equal">
      <formula>"Done"</formula>
    </cfRule>
  </conditionalFormatting>
  <conditionalFormatting sqref="E3:E78">
    <cfRule type="cellIs" dxfId="4" priority="4" operator="equal">
      <formula>"Can be Improved"</formula>
    </cfRule>
  </conditionalFormatting>
  <conditionalFormatting sqref="E3:E78">
    <cfRule type="cellIs" dxfId="5" priority="5" operator="equal">
      <formula>"To Do"</formula>
    </cfRule>
  </conditionalFormatting>
  <conditionalFormatting sqref="A3:H78">
    <cfRule type="expression" dxfId="1" priority="6">
      <formula>OR($E3="Done",$E3="Irrelevant")</formula>
    </cfRule>
  </conditionalFormatting>
  <dataValidations>
    <dataValidation type="list" allowBlank="1" sqref="E4:E8 E10:E15 E17:E24 E26:E49 E51:E58 E60:E67 E69:E78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7"/>
    <hyperlink r:id="rId8" ref="D7"/>
    <hyperlink r:id="rId9" ref="C8"/>
    <hyperlink r:id="rId10" ref="D8"/>
    <hyperlink r:id="rId11" ref="C10"/>
    <hyperlink r:id="rId12" ref="D10"/>
    <hyperlink r:id="rId13" ref="C11"/>
    <hyperlink r:id="rId14" ref="D11"/>
    <hyperlink r:id="rId15" ref="C12"/>
    <hyperlink r:id="rId16" ref="D12"/>
    <hyperlink r:id="rId17" ref="C13"/>
    <hyperlink r:id="rId18" ref="D13"/>
    <hyperlink r:id="rId19" ref="C14"/>
    <hyperlink r:id="rId20" ref="D14"/>
    <hyperlink r:id="rId21" ref="C15"/>
    <hyperlink r:id="rId22" ref="D15"/>
    <hyperlink r:id="rId23" ref="C17"/>
    <hyperlink r:id="rId24" ref="D17"/>
    <hyperlink r:id="rId25" ref="C18"/>
    <hyperlink r:id="rId26" ref="D18"/>
    <hyperlink r:id="rId27" ref="C19"/>
    <hyperlink r:id="rId28" ref="D19"/>
    <hyperlink r:id="rId29" ref="C20"/>
    <hyperlink r:id="rId30" ref="D20"/>
    <hyperlink r:id="rId31" ref="C21"/>
    <hyperlink r:id="rId32" ref="D21"/>
    <hyperlink r:id="rId33" ref="C22"/>
    <hyperlink r:id="rId34" ref="D22"/>
    <hyperlink r:id="rId35" ref="C23"/>
    <hyperlink r:id="rId36" ref="D23"/>
    <hyperlink r:id="rId37" ref="C24"/>
    <hyperlink r:id="rId38" ref="D24"/>
    <hyperlink r:id="rId39" ref="C26"/>
    <hyperlink r:id="rId40" ref="D26"/>
    <hyperlink r:id="rId41" ref="C27"/>
    <hyperlink r:id="rId42" ref="D27"/>
    <hyperlink r:id="rId43" ref="C28"/>
    <hyperlink r:id="rId44" ref="D28"/>
    <hyperlink r:id="rId45" ref="C29"/>
    <hyperlink r:id="rId46" ref="D29"/>
    <hyperlink r:id="rId47" ref="C30"/>
    <hyperlink r:id="rId48" ref="D30"/>
    <hyperlink r:id="rId49" ref="C31"/>
    <hyperlink r:id="rId50" ref="D31"/>
    <hyperlink r:id="rId51" ref="C32"/>
    <hyperlink r:id="rId52" ref="D32"/>
    <hyperlink r:id="rId53" ref="C33"/>
    <hyperlink r:id="rId54" ref="D33"/>
    <hyperlink r:id="rId55" ref="C34"/>
    <hyperlink r:id="rId56" ref="D34"/>
    <hyperlink r:id="rId57" ref="C35"/>
    <hyperlink r:id="rId58" ref="D35"/>
    <hyperlink r:id="rId59" ref="C36"/>
    <hyperlink r:id="rId60" ref="D36"/>
    <hyperlink r:id="rId61" ref="C37"/>
    <hyperlink r:id="rId62" ref="D37"/>
    <hyperlink r:id="rId63" ref="C38"/>
    <hyperlink r:id="rId64" ref="D38"/>
    <hyperlink r:id="rId65" ref="C39"/>
    <hyperlink r:id="rId66" ref="D39"/>
    <hyperlink r:id="rId67" ref="C40"/>
    <hyperlink r:id="rId68" ref="D40"/>
    <hyperlink r:id="rId69" ref="C41"/>
    <hyperlink r:id="rId70" ref="D41"/>
    <hyperlink r:id="rId71" ref="C42"/>
    <hyperlink r:id="rId72" ref="D42"/>
    <hyperlink r:id="rId73" ref="C43"/>
    <hyperlink r:id="rId74" ref="D43"/>
    <hyperlink r:id="rId75" ref="C44"/>
    <hyperlink r:id="rId76" ref="D44"/>
    <hyperlink r:id="rId77" ref="C45"/>
    <hyperlink r:id="rId78" ref="D45"/>
    <hyperlink r:id="rId79" ref="C46"/>
    <hyperlink r:id="rId80" ref="D46"/>
    <hyperlink r:id="rId81" ref="C47"/>
    <hyperlink r:id="rId82" ref="D47"/>
    <hyperlink r:id="rId83" ref="C48"/>
    <hyperlink r:id="rId84" ref="D48"/>
    <hyperlink r:id="rId85" ref="C49"/>
    <hyperlink r:id="rId86" ref="D49"/>
    <hyperlink r:id="rId87" ref="C51"/>
    <hyperlink r:id="rId88" ref="D51"/>
    <hyperlink r:id="rId89" ref="C52"/>
    <hyperlink r:id="rId90" ref="D52"/>
    <hyperlink r:id="rId91" ref="C53"/>
    <hyperlink r:id="rId92" ref="D53"/>
    <hyperlink r:id="rId93" ref="C54"/>
    <hyperlink r:id="rId94" ref="D54"/>
    <hyperlink r:id="rId95" ref="C55"/>
    <hyperlink r:id="rId96" ref="D55"/>
    <hyperlink r:id="rId97" ref="C56"/>
    <hyperlink r:id="rId98" ref="D56"/>
    <hyperlink r:id="rId99" ref="C57"/>
    <hyperlink r:id="rId100" ref="D57"/>
    <hyperlink r:id="rId101" ref="C58"/>
    <hyperlink r:id="rId102" ref="D58"/>
    <hyperlink r:id="rId103" ref="C60"/>
    <hyperlink r:id="rId104" ref="D60"/>
    <hyperlink r:id="rId105" ref="C61"/>
    <hyperlink r:id="rId106" ref="D61"/>
    <hyperlink r:id="rId107" ref="C62"/>
    <hyperlink r:id="rId108" ref="D62"/>
    <hyperlink r:id="rId109" ref="C63"/>
    <hyperlink r:id="rId110" ref="D63"/>
    <hyperlink r:id="rId111" ref="C64"/>
    <hyperlink r:id="rId112" ref="D64"/>
    <hyperlink r:id="rId113" ref="C65"/>
    <hyperlink r:id="rId114" ref="D65"/>
    <hyperlink r:id="rId115" ref="C66"/>
    <hyperlink r:id="rId116" ref="D66"/>
    <hyperlink r:id="rId117" ref="C67"/>
    <hyperlink r:id="rId118" ref="D67"/>
    <hyperlink r:id="rId119" ref="C69"/>
    <hyperlink r:id="rId120" ref="D69"/>
    <hyperlink r:id="rId121" ref="C70"/>
    <hyperlink r:id="rId122" ref="D70"/>
    <hyperlink r:id="rId123" ref="C71"/>
    <hyperlink r:id="rId124" ref="D71"/>
    <hyperlink r:id="rId125" ref="C72"/>
    <hyperlink r:id="rId126" ref="D72"/>
    <hyperlink r:id="rId127" ref="C73"/>
    <hyperlink r:id="rId128" ref="D73"/>
    <hyperlink r:id="rId129" ref="C74"/>
    <hyperlink r:id="rId130" ref="D74"/>
    <hyperlink r:id="rId131" ref="C75"/>
    <hyperlink r:id="rId132" ref="D75"/>
    <hyperlink r:id="rId133" ref="C76"/>
    <hyperlink r:id="rId134" ref="D76"/>
    <hyperlink r:id="rId135" ref="C77"/>
    <hyperlink r:id="rId136" ref="D77"/>
    <hyperlink r:id="rId137" ref="C78"/>
    <hyperlink r:id="rId138" ref="D78"/>
  </hyperlinks>
  <drawing r:id="rId13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11.63"/>
    <col customWidth="1" min="3" max="4" width="10.13"/>
    <col customWidth="1" min="5" max="5" width="15.13"/>
    <col customWidth="1" hidden="1" min="6" max="6" width="10.13"/>
    <col customWidth="1" min="7" max="7" width="10.13"/>
    <col customWidth="1" min="8" max="8" width="16.38"/>
    <col hidden="1" min="9" max="25" width="12.63"/>
  </cols>
  <sheetData>
    <row r="1" ht="52.5" customHeight="1">
      <c r="A1" s="1"/>
      <c r="B1" s="3" t="s">
        <v>400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401</v>
      </c>
      <c r="B2" s="57" t="s">
        <v>402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 t="s">
        <v>403</v>
      </c>
      <c r="B3" s="61" t="s">
        <v>404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65" t="b">
        <v>0</v>
      </c>
      <c r="B4" s="66" t="s">
        <v>405</v>
      </c>
      <c r="C4" s="76" t="s">
        <v>130</v>
      </c>
      <c r="D4" s="76" t="s">
        <v>130</v>
      </c>
      <c r="E4" s="68" t="s">
        <v>5</v>
      </c>
      <c r="F4" s="69">
        <f t="shared" ref="F4:F12" si="1">IF(E4="Not Relevant","",IF(E4="Good","",IF(E4="Bad",2,1)))+G4</f>
        <v>3</v>
      </c>
      <c r="G4" s="69">
        <v>2.0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65" t="b">
        <v>0</v>
      </c>
      <c r="B5" s="72" t="s">
        <v>406</v>
      </c>
      <c r="C5" s="76" t="s">
        <v>130</v>
      </c>
      <c r="D5" s="76" t="s">
        <v>130</v>
      </c>
      <c r="E5" s="73" t="s">
        <v>5</v>
      </c>
      <c r="F5" s="74">
        <f t="shared" si="1"/>
        <v>3</v>
      </c>
      <c r="G5" s="74">
        <v>2.0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65" t="b">
        <v>0</v>
      </c>
      <c r="B6" s="72" t="s">
        <v>407</v>
      </c>
      <c r="C6" s="76" t="s">
        <v>130</v>
      </c>
      <c r="D6" s="76" t="s">
        <v>130</v>
      </c>
      <c r="E6" s="73" t="s">
        <v>5</v>
      </c>
      <c r="F6" s="74">
        <f t="shared" si="1"/>
        <v>3</v>
      </c>
      <c r="G6" s="74">
        <v>2.0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18.75" customHeight="1">
      <c r="A7" s="65" t="b">
        <v>0</v>
      </c>
      <c r="B7" s="72" t="s">
        <v>408</v>
      </c>
      <c r="C7" s="76" t="s">
        <v>130</v>
      </c>
      <c r="D7" s="76" t="s">
        <v>130</v>
      </c>
      <c r="E7" s="73" t="s">
        <v>5</v>
      </c>
      <c r="F7" s="74">
        <f t="shared" si="1"/>
        <v>3</v>
      </c>
      <c r="G7" s="74">
        <v>2.0</v>
      </c>
      <c r="H7" s="70" t="str">
        <f>IFERROR(__xludf.DUMMYFUNCTION("SPARKLINE(F7,{""charttype"",""bar"";""max"",5;""min"",1;""color1"",""#180c56""})"),"")</f>
        <v/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8.75" customHeight="1">
      <c r="A8" s="65" t="b">
        <v>0</v>
      </c>
      <c r="B8" s="72" t="s">
        <v>409</v>
      </c>
      <c r="C8" s="76" t="s">
        <v>130</v>
      </c>
      <c r="D8" s="76" t="s">
        <v>130</v>
      </c>
      <c r="E8" s="73" t="s">
        <v>5</v>
      </c>
      <c r="F8" s="74">
        <f t="shared" si="1"/>
        <v>3</v>
      </c>
      <c r="G8" s="74">
        <v>2.0</v>
      </c>
      <c r="H8" s="70" t="str">
        <f>IFERROR(__xludf.DUMMYFUNCTION("SPARKLINE(F8,{""charttype"",""bar"";""max"",5;""min"",1;""color1"",""#180c56""})"),"")</f>
        <v/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75" customHeight="1">
      <c r="A9" s="65" t="b">
        <v>0</v>
      </c>
      <c r="B9" s="72" t="s">
        <v>410</v>
      </c>
      <c r="C9" s="76" t="s">
        <v>130</v>
      </c>
      <c r="D9" s="76" t="s">
        <v>130</v>
      </c>
      <c r="E9" s="73" t="s">
        <v>5</v>
      </c>
      <c r="F9" s="74">
        <f t="shared" si="1"/>
        <v>3</v>
      </c>
      <c r="G9" s="74">
        <v>2.0</v>
      </c>
      <c r="H9" s="70" t="str">
        <f>IFERROR(__xludf.DUMMYFUNCTION("SPARKLINE(F9,{""charttype"",""bar"";""max"",5;""min"",1;""color1"",""#180c56""})"),"")</f>
        <v/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75" customHeight="1">
      <c r="A10" s="65" t="b">
        <v>0</v>
      </c>
      <c r="B10" s="72" t="s">
        <v>411</v>
      </c>
      <c r="C10" s="76" t="s">
        <v>130</v>
      </c>
      <c r="D10" s="76" t="s">
        <v>130</v>
      </c>
      <c r="E10" s="73" t="s">
        <v>5</v>
      </c>
      <c r="F10" s="74">
        <f t="shared" si="1"/>
        <v>3</v>
      </c>
      <c r="G10" s="74">
        <v>2.0</v>
      </c>
      <c r="H10" s="70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65" t="b">
        <v>0</v>
      </c>
      <c r="B11" s="72" t="s">
        <v>412</v>
      </c>
      <c r="C11" s="76" t="s">
        <v>130</v>
      </c>
      <c r="D11" s="76" t="s">
        <v>130</v>
      </c>
      <c r="E11" s="73" t="s">
        <v>5</v>
      </c>
      <c r="F11" s="74">
        <f t="shared" si="1"/>
        <v>3</v>
      </c>
      <c r="G11" s="74">
        <v>2.0</v>
      </c>
      <c r="H11" s="70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65" t="b">
        <v>0</v>
      </c>
      <c r="B12" s="72" t="s">
        <v>413</v>
      </c>
      <c r="C12" s="76" t="s">
        <v>130</v>
      </c>
      <c r="D12" s="76" t="s">
        <v>130</v>
      </c>
      <c r="E12" s="73" t="s">
        <v>5</v>
      </c>
      <c r="F12" s="74">
        <f t="shared" si="1"/>
        <v>3</v>
      </c>
      <c r="G12" s="74">
        <v>2.0</v>
      </c>
      <c r="H12" s="70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22.5" customHeight="1">
      <c r="A13" s="60" t="s">
        <v>1</v>
      </c>
      <c r="B13" s="61" t="s">
        <v>310</v>
      </c>
      <c r="C13" s="62"/>
      <c r="D13" s="62"/>
      <c r="E13" s="62"/>
      <c r="F13" s="62"/>
      <c r="G13" s="62"/>
      <c r="H13" s="63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ht="18.75" customHeight="1">
      <c r="A14" s="65" t="b">
        <v>0</v>
      </c>
      <c r="B14" s="72" t="s">
        <v>414</v>
      </c>
      <c r="C14" s="76" t="s">
        <v>130</v>
      </c>
      <c r="D14" s="76" t="s">
        <v>130</v>
      </c>
      <c r="E14" s="73" t="s">
        <v>5</v>
      </c>
      <c r="F14" s="69">
        <f t="shared" ref="F14:F29" si="2">IF(E14="Not Relevant","",IF(E14="Good","",IF(E14="Bad",2,1)))+G14</f>
        <v>4</v>
      </c>
      <c r="G14" s="74">
        <v>3.0</v>
      </c>
      <c r="H14" s="75" t="str">
        <f>IFERROR(__xludf.DUMMYFUNCTION("SPARKLINE(F14,{""charttype"",""bar"";""max"",5;""min"",1;""color1"",""#180c56""})"),"")</f>
        <v/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65" t="b">
        <v>0</v>
      </c>
      <c r="B15" s="72" t="s">
        <v>415</v>
      </c>
      <c r="C15" s="76" t="s">
        <v>130</v>
      </c>
      <c r="D15" s="76" t="s">
        <v>130</v>
      </c>
      <c r="E15" s="73" t="s">
        <v>5</v>
      </c>
      <c r="F15" s="69">
        <f t="shared" si="2"/>
        <v>3</v>
      </c>
      <c r="G15" s="74">
        <v>2.0</v>
      </c>
      <c r="H15" s="75" t="str">
        <f>IFERROR(__xludf.DUMMYFUNCTION("SPARKLINE(F15,{""charttype"",""bar"";""max"",5;""min"",1;""color1"",""#180c56""})"),"")</f>
        <v/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75" customHeight="1">
      <c r="A16" s="65" t="b">
        <v>0</v>
      </c>
      <c r="B16" s="72" t="s">
        <v>416</v>
      </c>
      <c r="C16" s="76" t="s">
        <v>130</v>
      </c>
      <c r="D16" s="76" t="s">
        <v>130</v>
      </c>
      <c r="E16" s="73" t="s">
        <v>5</v>
      </c>
      <c r="F16" s="69">
        <f t="shared" si="2"/>
        <v>4</v>
      </c>
      <c r="G16" s="74">
        <v>3.0</v>
      </c>
      <c r="H16" s="75" t="str">
        <f>IFERROR(__xludf.DUMMYFUNCTION("SPARKLINE(F16,{""charttype"",""bar"";""max"",5;""min"",1;""color1"",""#180c56""})"),"")</f>
        <v/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75" customHeight="1">
      <c r="A17" s="65" t="b">
        <v>0</v>
      </c>
      <c r="B17" s="72" t="s">
        <v>417</v>
      </c>
      <c r="C17" s="76" t="s">
        <v>130</v>
      </c>
      <c r="D17" s="76" t="s">
        <v>130</v>
      </c>
      <c r="E17" s="73" t="s">
        <v>5</v>
      </c>
      <c r="F17" s="69">
        <f t="shared" si="2"/>
        <v>3</v>
      </c>
      <c r="G17" s="74">
        <v>2.0</v>
      </c>
      <c r="H17" s="75" t="str">
        <f>IFERROR(__xludf.DUMMYFUNCTION("SPARKLINE(F17,{""charttype"",""bar"";""max"",5;""min"",1;""color1"",""#180c56""})"),"")</f>
        <v/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75" customHeight="1">
      <c r="A18" s="65" t="b">
        <v>0</v>
      </c>
      <c r="B18" s="72" t="s">
        <v>418</v>
      </c>
      <c r="C18" s="76" t="s">
        <v>130</v>
      </c>
      <c r="D18" s="76" t="s">
        <v>130</v>
      </c>
      <c r="E18" s="73" t="s">
        <v>5</v>
      </c>
      <c r="F18" s="69">
        <f t="shared" si="2"/>
        <v>2</v>
      </c>
      <c r="G18" s="74">
        <v>1.0</v>
      </c>
      <c r="H18" s="75" t="str">
        <f>IFERROR(__xludf.DUMMYFUNCTION("SPARKLINE(F18,{""charttype"",""bar"";""max"",5;""min"",1;""color1"",""#180c56""})"),"")</f>
        <v/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75" customHeight="1">
      <c r="A19" s="65" t="b">
        <v>0</v>
      </c>
      <c r="B19" s="72" t="s">
        <v>419</v>
      </c>
      <c r="C19" s="76" t="s">
        <v>130</v>
      </c>
      <c r="D19" s="76" t="s">
        <v>130</v>
      </c>
      <c r="E19" s="73" t="s">
        <v>5</v>
      </c>
      <c r="F19" s="69">
        <f t="shared" si="2"/>
        <v>4</v>
      </c>
      <c r="G19" s="74">
        <v>3.0</v>
      </c>
      <c r="H19" s="75" t="str">
        <f>IFERROR(__xludf.DUMMYFUNCTION("SPARKLINE(F19,{""charttype"",""bar"";""max"",5;""min"",1;""color1"",""#180c56""})"),"")</f>
        <v/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65" t="b">
        <v>0</v>
      </c>
      <c r="B20" s="72" t="s">
        <v>420</v>
      </c>
      <c r="C20" s="76" t="s">
        <v>130</v>
      </c>
      <c r="D20" s="76" t="s">
        <v>130</v>
      </c>
      <c r="E20" s="73" t="s">
        <v>5</v>
      </c>
      <c r="F20" s="69">
        <f t="shared" si="2"/>
        <v>3</v>
      </c>
      <c r="G20" s="74">
        <v>2.0</v>
      </c>
      <c r="H20" s="75" t="str">
        <f>IFERROR(__xludf.DUMMYFUNCTION("SPARKLINE(F20,{""charttype"",""bar"";""max"",5;""min"",1;""color1"",""#180c56""})"),"")</f>
        <v/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65" t="b">
        <v>0</v>
      </c>
      <c r="B21" s="72" t="s">
        <v>421</v>
      </c>
      <c r="C21" s="76" t="s">
        <v>130</v>
      </c>
      <c r="D21" s="76" t="s">
        <v>130</v>
      </c>
      <c r="E21" s="73" t="s">
        <v>5</v>
      </c>
      <c r="F21" s="69">
        <f t="shared" si="2"/>
        <v>2</v>
      </c>
      <c r="G21" s="74">
        <v>1.0</v>
      </c>
      <c r="H21" s="75" t="str">
        <f>IFERROR(__xludf.DUMMYFUNCTION("SPARKLINE(F21,{""charttype"",""bar"";""max"",5;""min"",1;""color1"",""#180c56""})"),"")</f>
        <v/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65" t="b">
        <v>0</v>
      </c>
      <c r="B22" s="72" t="s">
        <v>422</v>
      </c>
      <c r="C22" s="76" t="s">
        <v>130</v>
      </c>
      <c r="D22" s="76" t="s">
        <v>130</v>
      </c>
      <c r="E22" s="73" t="s">
        <v>5</v>
      </c>
      <c r="F22" s="69">
        <f t="shared" si="2"/>
        <v>3</v>
      </c>
      <c r="G22" s="74">
        <v>2.0</v>
      </c>
      <c r="H22" s="75" t="str">
        <f>IFERROR(__xludf.DUMMYFUNCTION("SPARKLINE(F22,{""charttype"",""bar"";""max"",5;""min"",1;""color1"",""#180c56""})"),"")</f>
        <v/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65" t="b">
        <v>0</v>
      </c>
      <c r="B23" s="72" t="s">
        <v>423</v>
      </c>
      <c r="C23" s="76" t="s">
        <v>130</v>
      </c>
      <c r="D23" s="76" t="s">
        <v>130</v>
      </c>
      <c r="E23" s="73" t="s">
        <v>5</v>
      </c>
      <c r="F23" s="69">
        <f t="shared" si="2"/>
        <v>3</v>
      </c>
      <c r="G23" s="74">
        <v>2.0</v>
      </c>
      <c r="H23" s="75" t="str">
        <f>IFERROR(__xludf.DUMMYFUNCTION("SPARKLINE(F23,{""charttype"",""bar"";""max"",5;""min"",1;""color1"",""#180c56""})"),"")</f>
        <v/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65" t="b">
        <v>0</v>
      </c>
      <c r="B24" s="96" t="s">
        <v>424</v>
      </c>
      <c r="C24" s="76" t="s">
        <v>130</v>
      </c>
      <c r="D24" s="76" t="s">
        <v>130</v>
      </c>
      <c r="E24" s="73" t="s">
        <v>5</v>
      </c>
      <c r="F24" s="69">
        <f t="shared" si="2"/>
        <v>4</v>
      </c>
      <c r="G24" s="74">
        <v>3.0</v>
      </c>
      <c r="H24" s="75" t="str">
        <f>IFERROR(__xludf.DUMMYFUNCTION("SPARKLINE(F24,{""charttype"",""bar"";""max"",5;""min"",1;""color1"",""#180c56""})"),"")</f>
        <v/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75" customHeight="1">
      <c r="A25" s="65" t="b">
        <v>0</v>
      </c>
      <c r="B25" s="72" t="s">
        <v>425</v>
      </c>
      <c r="C25" s="76" t="s">
        <v>130</v>
      </c>
      <c r="D25" s="76" t="s">
        <v>130</v>
      </c>
      <c r="E25" s="73" t="s">
        <v>5</v>
      </c>
      <c r="F25" s="69">
        <f t="shared" si="2"/>
        <v>3</v>
      </c>
      <c r="G25" s="74">
        <v>2.0</v>
      </c>
      <c r="H25" s="75" t="str">
        <f>IFERROR(__xludf.DUMMYFUNCTION("SPARKLINE(F25,{""charttype"",""bar"";""max"",5;""min"",1;""color1"",""#180c56""})"),"")</f>
        <v/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75" customHeight="1">
      <c r="A26" s="65" t="b">
        <v>0</v>
      </c>
      <c r="B26" s="72" t="s">
        <v>426</v>
      </c>
      <c r="C26" s="76" t="s">
        <v>130</v>
      </c>
      <c r="D26" s="76" t="s">
        <v>130</v>
      </c>
      <c r="E26" s="73" t="s">
        <v>5</v>
      </c>
      <c r="F26" s="69">
        <f t="shared" si="2"/>
        <v>4</v>
      </c>
      <c r="G26" s="74">
        <v>3.0</v>
      </c>
      <c r="H26" s="75" t="str">
        <f>IFERROR(__xludf.DUMMYFUNCTION("SPARKLINE(F26,{""charttype"",""bar"";""max"",5;""min"",1;""color1"",""#180c56""})"),"")</f>
        <v/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75" customHeight="1">
      <c r="A27" s="65" t="b">
        <v>0</v>
      </c>
      <c r="B27" s="72" t="s">
        <v>427</v>
      </c>
      <c r="C27" s="76" t="s">
        <v>130</v>
      </c>
      <c r="D27" s="76" t="s">
        <v>130</v>
      </c>
      <c r="E27" s="73" t="s">
        <v>5</v>
      </c>
      <c r="F27" s="69">
        <f t="shared" si="2"/>
        <v>4</v>
      </c>
      <c r="G27" s="74">
        <v>3.0</v>
      </c>
      <c r="H27" s="75" t="str">
        <f>IFERROR(__xludf.DUMMYFUNCTION("SPARKLINE(F27,{""charttype"",""bar"";""max"",5;""min"",1;""color1"",""#180c56""})"),"")</f>
        <v/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75" customHeight="1">
      <c r="A28" s="65" t="b">
        <v>0</v>
      </c>
      <c r="B28" s="72" t="s">
        <v>428</v>
      </c>
      <c r="C28" s="76" t="s">
        <v>130</v>
      </c>
      <c r="D28" s="76" t="s">
        <v>130</v>
      </c>
      <c r="E28" s="73" t="s">
        <v>5</v>
      </c>
      <c r="F28" s="69">
        <f t="shared" si="2"/>
        <v>3</v>
      </c>
      <c r="G28" s="74">
        <v>2.0</v>
      </c>
      <c r="H28" s="75" t="str">
        <f>IFERROR(__xludf.DUMMYFUNCTION("SPARKLINE(F28,{""charttype"",""bar"";""max"",5;""min"",1;""color1"",""#180c56""})"),"")</f>
        <v/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97" t="b">
        <v>0</v>
      </c>
      <c r="B29" s="78" t="s">
        <v>429</v>
      </c>
      <c r="C29" s="79" t="s">
        <v>130</v>
      </c>
      <c r="D29" s="79" t="s">
        <v>130</v>
      </c>
      <c r="E29" s="80" t="s">
        <v>5</v>
      </c>
      <c r="F29" s="81">
        <f t="shared" si="2"/>
        <v>3</v>
      </c>
      <c r="G29" s="81">
        <v>2.0</v>
      </c>
      <c r="H29" s="82" t="str">
        <f>IFERROR(__xludf.DUMMYFUNCTION("SPARKLINE(F29,{""charttype"",""bar"";""max"",5;""min"",1;""color1"",""#180c56""})"),"")</f>
        <v/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75" customHeight="1">
      <c r="A30" s="37"/>
      <c r="B30" s="83"/>
      <c r="C30" s="37"/>
      <c r="D30" s="37"/>
      <c r="E30" s="37"/>
      <c r="F30" s="37"/>
      <c r="G30" s="3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75" customHeight="1">
      <c r="A31" s="37"/>
      <c r="B31" s="83"/>
      <c r="C31" s="37"/>
      <c r="D31" s="37"/>
      <c r="E31" s="37"/>
      <c r="F31" s="37"/>
      <c r="G31" s="37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75" customHeight="1">
      <c r="A32" s="37"/>
      <c r="B32" s="83"/>
      <c r="C32" s="37"/>
      <c r="D32" s="37"/>
      <c r="E32" s="37"/>
      <c r="F32" s="37"/>
      <c r="G32" s="37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75" customHeight="1">
      <c r="A33" s="37"/>
      <c r="B33" s="83"/>
      <c r="C33" s="37"/>
      <c r="D33" s="37"/>
      <c r="E33" s="37"/>
      <c r="F33" s="37"/>
      <c r="G33" s="3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75" customHeight="1">
      <c r="A34" s="37"/>
      <c r="B34" s="83"/>
      <c r="C34" s="37"/>
      <c r="D34" s="37"/>
      <c r="E34" s="37"/>
      <c r="F34" s="37"/>
      <c r="G34" s="37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75" customHeight="1">
      <c r="A35" s="37"/>
      <c r="B35" s="83"/>
      <c r="C35" s="37"/>
      <c r="D35" s="37"/>
      <c r="E35" s="37"/>
      <c r="F35" s="37"/>
      <c r="G35" s="37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37"/>
      <c r="B36" s="83"/>
      <c r="C36" s="37"/>
      <c r="D36" s="37"/>
      <c r="E36" s="37"/>
      <c r="F36" s="37"/>
      <c r="G36" s="37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37"/>
      <c r="B37" s="83"/>
      <c r="C37" s="37"/>
      <c r="D37" s="37"/>
      <c r="E37" s="37"/>
      <c r="F37" s="37"/>
      <c r="G37" s="3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37"/>
      <c r="B38" s="83"/>
      <c r="C38" s="37"/>
      <c r="D38" s="37"/>
      <c r="E38" s="37"/>
      <c r="F38" s="37"/>
      <c r="G38" s="3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75" customHeight="1">
      <c r="A39" s="37"/>
      <c r="B39" s="83"/>
      <c r="C39" s="37"/>
      <c r="D39" s="37"/>
      <c r="E39" s="37"/>
      <c r="F39" s="37"/>
      <c r="G39" s="3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75" customHeight="1">
      <c r="A40" s="37"/>
      <c r="B40" s="83"/>
      <c r="C40" s="37"/>
      <c r="D40" s="37"/>
      <c r="E40" s="37"/>
      <c r="F40" s="37"/>
      <c r="G40" s="3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37"/>
      <c r="B41" s="83"/>
      <c r="C41" s="37"/>
      <c r="D41" s="37"/>
      <c r="E41" s="37"/>
      <c r="F41" s="37"/>
      <c r="G41" s="3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37"/>
      <c r="B42" s="83"/>
      <c r="C42" s="37"/>
      <c r="D42" s="37"/>
      <c r="E42" s="37"/>
      <c r="F42" s="37"/>
      <c r="G42" s="3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37"/>
      <c r="B43" s="83"/>
      <c r="C43" s="37"/>
      <c r="D43" s="37"/>
      <c r="E43" s="37"/>
      <c r="F43" s="37"/>
      <c r="G43" s="3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37"/>
      <c r="B44" s="83"/>
      <c r="C44" s="37"/>
      <c r="D44" s="37"/>
      <c r="E44" s="37"/>
      <c r="F44" s="37"/>
      <c r="G44" s="3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37"/>
      <c r="B45" s="83"/>
      <c r="C45" s="37"/>
      <c r="D45" s="37"/>
      <c r="E45" s="37"/>
      <c r="F45" s="37"/>
      <c r="G45" s="3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37"/>
      <c r="B46" s="83"/>
      <c r="C46" s="37"/>
      <c r="D46" s="37"/>
      <c r="E46" s="37"/>
      <c r="F46" s="37"/>
      <c r="G46" s="3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37"/>
      <c r="B47" s="83"/>
      <c r="C47" s="37"/>
      <c r="D47" s="37"/>
      <c r="E47" s="37"/>
      <c r="F47" s="37"/>
      <c r="G47" s="3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37"/>
      <c r="B48" s="83"/>
      <c r="C48" s="37"/>
      <c r="D48" s="37"/>
      <c r="E48" s="37"/>
      <c r="F48" s="37"/>
      <c r="G48" s="3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75" customHeight="1">
      <c r="A49" s="37"/>
      <c r="B49" s="83"/>
      <c r="C49" s="37"/>
      <c r="D49" s="37"/>
      <c r="E49" s="37"/>
      <c r="F49" s="37"/>
      <c r="G49" s="3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75" customHeight="1">
      <c r="A50" s="37"/>
      <c r="B50" s="83"/>
      <c r="C50" s="37"/>
      <c r="D50" s="37"/>
      <c r="E50" s="37"/>
      <c r="F50" s="37"/>
      <c r="G50" s="3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75" customHeight="1">
      <c r="A51" s="37"/>
      <c r="B51" s="83"/>
      <c r="C51" s="37"/>
      <c r="D51" s="37"/>
      <c r="E51" s="37"/>
      <c r="F51" s="37"/>
      <c r="G51" s="3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37"/>
      <c r="B52" s="83"/>
      <c r="C52" s="37"/>
      <c r="D52" s="37"/>
      <c r="E52" s="37"/>
      <c r="F52" s="37"/>
      <c r="G52" s="3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37"/>
      <c r="B53" s="83"/>
      <c r="C53" s="37"/>
      <c r="D53" s="37"/>
      <c r="E53" s="37"/>
      <c r="F53" s="37"/>
      <c r="G53" s="3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37"/>
      <c r="B54" s="83"/>
      <c r="C54" s="37"/>
      <c r="D54" s="37"/>
      <c r="E54" s="37"/>
      <c r="F54" s="37"/>
      <c r="G54" s="3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37"/>
      <c r="B55" s="83"/>
      <c r="C55" s="37"/>
      <c r="D55" s="37"/>
      <c r="E55" s="37"/>
      <c r="F55" s="37"/>
      <c r="G55" s="3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37"/>
      <c r="B56" s="83"/>
      <c r="C56" s="37"/>
      <c r="D56" s="37"/>
      <c r="E56" s="37"/>
      <c r="F56" s="37"/>
      <c r="G56" s="3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37"/>
      <c r="B57" s="83"/>
      <c r="C57" s="37"/>
      <c r="D57" s="37"/>
      <c r="E57" s="37"/>
      <c r="F57" s="37"/>
      <c r="G57" s="3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75" customHeight="1">
      <c r="A58" s="37"/>
      <c r="B58" s="83"/>
      <c r="C58" s="37"/>
      <c r="D58" s="37"/>
      <c r="E58" s="37"/>
      <c r="F58" s="37"/>
      <c r="G58" s="3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75" customHeight="1">
      <c r="A59" s="37"/>
      <c r="B59" s="83"/>
      <c r="C59" s="37"/>
      <c r="D59" s="37"/>
      <c r="E59" s="37"/>
      <c r="F59" s="37"/>
      <c r="G59" s="3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75" customHeight="1">
      <c r="A60" s="37"/>
      <c r="B60" s="83"/>
      <c r="C60" s="37"/>
      <c r="D60" s="37"/>
      <c r="E60" s="37"/>
      <c r="F60" s="37"/>
      <c r="G60" s="3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37"/>
      <c r="B61" s="83"/>
      <c r="C61" s="37"/>
      <c r="D61" s="37"/>
      <c r="E61" s="37"/>
      <c r="F61" s="37"/>
      <c r="G61" s="3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37"/>
      <c r="B62" s="83"/>
      <c r="C62" s="37"/>
      <c r="D62" s="37"/>
      <c r="E62" s="37"/>
      <c r="F62" s="37"/>
      <c r="G62" s="3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37"/>
      <c r="B63" s="83"/>
      <c r="C63" s="37"/>
      <c r="D63" s="37"/>
      <c r="E63" s="37"/>
      <c r="F63" s="37"/>
      <c r="G63" s="3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37"/>
      <c r="B64" s="83"/>
      <c r="C64" s="37"/>
      <c r="D64" s="37"/>
      <c r="E64" s="37"/>
      <c r="F64" s="37"/>
      <c r="G64" s="3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37"/>
      <c r="B65" s="83"/>
      <c r="C65" s="37"/>
      <c r="D65" s="37"/>
      <c r="E65" s="37"/>
      <c r="F65" s="37"/>
      <c r="G65" s="3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37"/>
      <c r="B66" s="83"/>
      <c r="C66" s="37"/>
      <c r="D66" s="37"/>
      <c r="E66" s="37"/>
      <c r="F66" s="37"/>
      <c r="G66" s="3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37"/>
      <c r="B67" s="83"/>
      <c r="C67" s="37"/>
      <c r="D67" s="37"/>
      <c r="E67" s="37"/>
      <c r="F67" s="37"/>
      <c r="G67" s="3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75" customHeight="1">
      <c r="A68" s="37"/>
      <c r="B68" s="83"/>
      <c r="C68" s="37"/>
      <c r="D68" s="37"/>
      <c r="E68" s="37"/>
      <c r="F68" s="37"/>
      <c r="G68" s="3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75" customHeight="1">
      <c r="A69" s="37"/>
      <c r="B69" s="83"/>
      <c r="C69" s="37"/>
      <c r="D69" s="37"/>
      <c r="E69" s="37"/>
      <c r="F69" s="37"/>
      <c r="G69" s="3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37"/>
      <c r="B70" s="83"/>
      <c r="C70" s="37"/>
      <c r="D70" s="37"/>
      <c r="E70" s="37"/>
      <c r="F70" s="37"/>
      <c r="G70" s="3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37"/>
      <c r="B71" s="83"/>
      <c r="C71" s="37"/>
      <c r="D71" s="37"/>
      <c r="E71" s="37"/>
      <c r="F71" s="37"/>
      <c r="G71" s="3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37"/>
      <c r="B72" s="83"/>
      <c r="C72" s="37"/>
      <c r="D72" s="37"/>
      <c r="E72" s="37"/>
      <c r="F72" s="37"/>
      <c r="G72" s="3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37"/>
      <c r="B73" s="83"/>
      <c r="C73" s="37"/>
      <c r="D73" s="37"/>
      <c r="E73" s="37"/>
      <c r="F73" s="37"/>
      <c r="G73" s="3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37"/>
      <c r="B74" s="83"/>
      <c r="C74" s="37"/>
      <c r="D74" s="37"/>
      <c r="E74" s="37"/>
      <c r="F74" s="37"/>
      <c r="G74" s="3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37"/>
      <c r="B75" s="83"/>
      <c r="C75" s="37"/>
      <c r="D75" s="37"/>
      <c r="E75" s="37"/>
      <c r="F75" s="37"/>
      <c r="G75" s="3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37"/>
      <c r="B76" s="83"/>
      <c r="C76" s="37"/>
      <c r="D76" s="37"/>
      <c r="E76" s="37"/>
      <c r="F76" s="37"/>
      <c r="G76" s="3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37"/>
      <c r="B77" s="83"/>
      <c r="C77" s="37"/>
      <c r="D77" s="37"/>
      <c r="E77" s="37"/>
      <c r="F77" s="37"/>
      <c r="G77" s="3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37"/>
      <c r="B78" s="83"/>
      <c r="C78" s="37"/>
      <c r="D78" s="37"/>
      <c r="E78" s="37"/>
      <c r="F78" s="37"/>
      <c r="G78" s="3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8.75" customHeight="1">
      <c r="A960" s="37"/>
      <c r="B960" s="83"/>
      <c r="C960" s="37"/>
      <c r="D960" s="37"/>
      <c r="E960" s="37"/>
      <c r="F960" s="37"/>
      <c r="G960" s="3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8.75" customHeight="1">
      <c r="A961" s="37"/>
      <c r="B961" s="83"/>
      <c r="C961" s="37"/>
      <c r="D961" s="37"/>
      <c r="E961" s="37"/>
      <c r="F961" s="37"/>
      <c r="G961" s="3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8.75" customHeight="1">
      <c r="A962" s="37"/>
      <c r="B962" s="83"/>
      <c r="C962" s="37"/>
      <c r="D962" s="37"/>
      <c r="E962" s="37"/>
      <c r="F962" s="37"/>
      <c r="G962" s="3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8.75" customHeight="1">
      <c r="A963" s="37"/>
      <c r="B963" s="83"/>
      <c r="C963" s="37"/>
      <c r="D963" s="37"/>
      <c r="E963" s="37"/>
      <c r="F963" s="37"/>
      <c r="G963" s="3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8.75" customHeight="1">
      <c r="A964" s="37"/>
      <c r="B964" s="83"/>
      <c r="C964" s="37"/>
      <c r="D964" s="37"/>
      <c r="E964" s="37"/>
      <c r="F964" s="37"/>
      <c r="G964" s="3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8.75" customHeight="1">
      <c r="A965" s="37"/>
      <c r="B965" s="83"/>
      <c r="C965" s="37"/>
      <c r="D965" s="37"/>
      <c r="E965" s="37"/>
      <c r="F965" s="37"/>
      <c r="G965" s="3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8.75" customHeight="1">
      <c r="A966" s="37"/>
      <c r="B966" s="83"/>
      <c r="C966" s="37"/>
      <c r="D966" s="37"/>
      <c r="E966" s="37"/>
      <c r="F966" s="37"/>
      <c r="G966" s="3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8.75" customHeight="1">
      <c r="A967" s="37"/>
      <c r="B967" s="83"/>
      <c r="C967" s="37"/>
      <c r="D967" s="37"/>
      <c r="E967" s="37"/>
      <c r="F967" s="37"/>
      <c r="G967" s="3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8.75" customHeight="1">
      <c r="A968" s="37"/>
      <c r="B968" s="83"/>
      <c r="C968" s="37"/>
      <c r="D968" s="37"/>
      <c r="E968" s="37"/>
      <c r="F968" s="37"/>
      <c r="G968" s="3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8.75" customHeight="1">
      <c r="A969" s="37"/>
      <c r="B969" s="83"/>
      <c r="C969" s="37"/>
      <c r="D969" s="37"/>
      <c r="E969" s="37"/>
      <c r="F969" s="37"/>
      <c r="G969" s="3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8.75" customHeight="1">
      <c r="A970" s="37"/>
      <c r="B970" s="83"/>
      <c r="C970" s="37"/>
      <c r="D970" s="37"/>
      <c r="E970" s="37"/>
      <c r="F970" s="37"/>
      <c r="G970" s="3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8.75" customHeight="1">
      <c r="A971" s="37"/>
      <c r="B971" s="83"/>
      <c r="C971" s="37"/>
      <c r="D971" s="37"/>
      <c r="E971" s="37"/>
      <c r="F971" s="37"/>
      <c r="G971" s="3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8.75" customHeight="1">
      <c r="A972" s="37"/>
      <c r="B972" s="83"/>
      <c r="C972" s="37"/>
      <c r="D972" s="37"/>
      <c r="E972" s="37"/>
      <c r="F972" s="37"/>
      <c r="G972" s="37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8.75" customHeight="1">
      <c r="A973" s="37"/>
      <c r="B973" s="83"/>
      <c r="C973" s="37"/>
      <c r="D973" s="37"/>
      <c r="E973" s="37"/>
      <c r="F973" s="37"/>
      <c r="G973" s="37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8.75" customHeight="1">
      <c r="A974" s="37"/>
      <c r="B974" s="83"/>
      <c r="C974" s="37"/>
      <c r="D974" s="37"/>
      <c r="E974" s="37"/>
      <c r="F974" s="37"/>
      <c r="G974" s="37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8.75" customHeight="1">
      <c r="A975" s="37"/>
      <c r="B975" s="83"/>
      <c r="C975" s="37"/>
      <c r="D975" s="37"/>
      <c r="E975" s="37"/>
      <c r="F975" s="37"/>
      <c r="G975" s="37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8.75" customHeight="1">
      <c r="A976" s="37"/>
      <c r="B976" s="83"/>
      <c r="C976" s="37"/>
      <c r="D976" s="37"/>
      <c r="E976" s="37"/>
      <c r="F976" s="37"/>
      <c r="G976" s="37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</sheetData>
  <conditionalFormatting sqref="B3:B29">
    <cfRule type="expression" dxfId="2" priority="1">
      <formula>$A3=TRUE</formula>
    </cfRule>
  </conditionalFormatting>
  <conditionalFormatting sqref="A3:H29">
    <cfRule type="expression" dxfId="0" priority="2">
      <formula>$A3=TRUE</formula>
    </cfRule>
  </conditionalFormatting>
  <conditionalFormatting sqref="E3:E29">
    <cfRule type="cellIs" dxfId="3" priority="3" operator="equal">
      <formula>"Done"</formula>
    </cfRule>
  </conditionalFormatting>
  <conditionalFormatting sqref="E3:E29">
    <cfRule type="cellIs" dxfId="4" priority="4" operator="equal">
      <formula>"Can be Improved"</formula>
    </cfRule>
  </conditionalFormatting>
  <conditionalFormatting sqref="E3:E29">
    <cfRule type="cellIs" dxfId="5" priority="5" operator="equal">
      <formula>"To Do"</formula>
    </cfRule>
  </conditionalFormatting>
  <conditionalFormatting sqref="A3:H29">
    <cfRule type="expression" dxfId="1" priority="6">
      <formula>OR($E3="Done",$E3="Irrelevant")</formula>
    </cfRule>
  </conditionalFormatting>
  <dataValidations>
    <dataValidation type="list" allowBlank="1" sqref="E4:E12 E14:E29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7"/>
    <hyperlink r:id="rId8" ref="D7"/>
    <hyperlink r:id="rId9" ref="C8"/>
    <hyperlink r:id="rId10" ref="D8"/>
    <hyperlink r:id="rId11" ref="C9"/>
    <hyperlink r:id="rId12" ref="D9"/>
    <hyperlink r:id="rId13" ref="C10"/>
    <hyperlink r:id="rId14" ref="D10"/>
    <hyperlink r:id="rId15" ref="C11"/>
    <hyperlink r:id="rId16" ref="D11"/>
    <hyperlink r:id="rId17" ref="C12"/>
    <hyperlink r:id="rId18" ref="D12"/>
    <hyperlink r:id="rId19" ref="C14"/>
    <hyperlink r:id="rId20" ref="D14"/>
    <hyperlink r:id="rId21" ref="C15"/>
    <hyperlink r:id="rId22" ref="D15"/>
    <hyperlink r:id="rId23" ref="C16"/>
    <hyperlink r:id="rId24" ref="D16"/>
    <hyperlink r:id="rId25" ref="C17"/>
    <hyperlink r:id="rId26" ref="D17"/>
    <hyperlink r:id="rId27" ref="C18"/>
    <hyperlink r:id="rId28" ref="D18"/>
    <hyperlink r:id="rId29" ref="C19"/>
    <hyperlink r:id="rId30" ref="D19"/>
    <hyperlink r:id="rId31" ref="C20"/>
    <hyperlink r:id="rId32" ref="D20"/>
    <hyperlink r:id="rId33" ref="C21"/>
    <hyperlink r:id="rId34" ref="D21"/>
    <hyperlink r:id="rId35" ref="C22"/>
    <hyperlink r:id="rId36" ref="D22"/>
    <hyperlink r:id="rId37" ref="C23"/>
    <hyperlink r:id="rId38" ref="D23"/>
    <hyperlink r:id="rId39" ref="C24"/>
    <hyperlink r:id="rId40" ref="D24"/>
    <hyperlink r:id="rId41" ref="C25"/>
    <hyperlink r:id="rId42" ref="D25"/>
    <hyperlink r:id="rId43" ref="C26"/>
    <hyperlink r:id="rId44" ref="D26"/>
    <hyperlink r:id="rId45" ref="C27"/>
    <hyperlink r:id="rId46" ref="D27"/>
    <hyperlink r:id="rId47" ref="C28"/>
    <hyperlink r:id="rId48" ref="D28"/>
    <hyperlink r:id="rId49" ref="C29"/>
    <hyperlink r:id="rId50" ref="D29"/>
  </hyperlinks>
  <drawing r:id="rId5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11.63"/>
    <col customWidth="1" min="3" max="4" width="10.13"/>
    <col customWidth="1" min="5" max="5" width="15.13"/>
    <col customWidth="1" hidden="1" min="6" max="6" width="10.13"/>
    <col customWidth="1" min="7" max="7" width="10.13"/>
    <col customWidth="1" min="8" max="8" width="16.38"/>
    <col hidden="1" min="9" max="25" width="12.63"/>
  </cols>
  <sheetData>
    <row r="1" ht="52.5" customHeight="1">
      <c r="A1" s="1"/>
      <c r="B1" s="3" t="s">
        <v>430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431</v>
      </c>
      <c r="B2" s="57" t="s">
        <v>432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 t="s">
        <v>433</v>
      </c>
      <c r="B3" s="61" t="s">
        <v>434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65" t="b">
        <v>0</v>
      </c>
      <c r="B4" s="66" t="s">
        <v>435</v>
      </c>
      <c r="C4" s="76" t="s">
        <v>130</v>
      </c>
      <c r="D4" s="76" t="s">
        <v>130</v>
      </c>
      <c r="E4" s="68" t="s">
        <v>436</v>
      </c>
      <c r="F4" s="69">
        <f t="shared" ref="F4:F6" si="1">IF(E4="Not Relevant","",IF(E4="Good","",IF(E4="Bad",2,1)))+G4</f>
        <v>3</v>
      </c>
      <c r="G4" s="69">
        <v>2.0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65" t="b">
        <v>0</v>
      </c>
      <c r="B5" s="72" t="s">
        <v>437</v>
      </c>
      <c r="C5" s="76" t="s">
        <v>130</v>
      </c>
      <c r="D5" s="76" t="s">
        <v>130</v>
      </c>
      <c r="E5" s="73" t="s">
        <v>438</v>
      </c>
      <c r="F5" s="74">
        <f t="shared" si="1"/>
        <v>3</v>
      </c>
      <c r="G5" s="74">
        <v>2.0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65" t="b">
        <v>0</v>
      </c>
      <c r="B6" s="72" t="s">
        <v>439</v>
      </c>
      <c r="C6" s="76" t="s">
        <v>130</v>
      </c>
      <c r="D6" s="76" t="s">
        <v>130</v>
      </c>
      <c r="E6" s="73" t="s">
        <v>5</v>
      </c>
      <c r="F6" s="74">
        <f t="shared" si="1"/>
        <v>3</v>
      </c>
      <c r="G6" s="74">
        <v>2.0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22.5" customHeight="1">
      <c r="A7" s="60" t="s">
        <v>440</v>
      </c>
      <c r="B7" s="61" t="s">
        <v>441</v>
      </c>
      <c r="C7" s="95"/>
      <c r="D7" s="95"/>
      <c r="E7" s="95"/>
      <c r="F7" s="62"/>
      <c r="G7" s="62"/>
      <c r="H7" s="63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ht="18.75" customHeight="1">
      <c r="A8" s="65" t="b">
        <v>0</v>
      </c>
      <c r="B8" s="72" t="s">
        <v>442</v>
      </c>
      <c r="C8" s="76" t="s">
        <v>130</v>
      </c>
      <c r="D8" s="76" t="s">
        <v>130</v>
      </c>
      <c r="E8" s="73" t="s">
        <v>5</v>
      </c>
      <c r="F8" s="74">
        <f t="shared" ref="F8:F29" si="2">IF(E8="Not Relevant","",IF(E8="Good","",IF(E8="Bad",2,1)))+G8</f>
        <v>4</v>
      </c>
      <c r="G8" s="74">
        <v>3.0</v>
      </c>
      <c r="H8" s="75" t="str">
        <f>IFERROR(__xludf.DUMMYFUNCTION("SPARKLINE(F8,{""charttype"",""bar"";""max"",5;""min"",1;""color1"",""#180c56""})"),"")</f>
        <v/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75" customHeight="1">
      <c r="A9" s="65" t="b">
        <v>0</v>
      </c>
      <c r="B9" s="72" t="s">
        <v>443</v>
      </c>
      <c r="C9" s="76" t="s">
        <v>130</v>
      </c>
      <c r="D9" s="76" t="s">
        <v>130</v>
      </c>
      <c r="E9" s="73" t="s">
        <v>5</v>
      </c>
      <c r="F9" s="74">
        <f t="shared" si="2"/>
        <v>4</v>
      </c>
      <c r="G9" s="74">
        <v>3.0</v>
      </c>
      <c r="H9" s="75" t="str">
        <f>IFERROR(__xludf.DUMMYFUNCTION("SPARKLINE(F9,{""charttype"",""bar"";""max"",5;""min"",1;""color1"",""#180c56""})"),"")</f>
        <v/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75" customHeight="1">
      <c r="A10" s="65" t="b">
        <v>0</v>
      </c>
      <c r="B10" s="72" t="s">
        <v>444</v>
      </c>
      <c r="C10" s="76" t="s">
        <v>130</v>
      </c>
      <c r="D10" s="76" t="s">
        <v>130</v>
      </c>
      <c r="E10" s="73" t="s">
        <v>5</v>
      </c>
      <c r="F10" s="74">
        <f t="shared" si="2"/>
        <v>4</v>
      </c>
      <c r="G10" s="74">
        <v>3.0</v>
      </c>
      <c r="H10" s="75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65" t="b">
        <v>0</v>
      </c>
      <c r="B11" s="72" t="s">
        <v>445</v>
      </c>
      <c r="C11" s="76" t="s">
        <v>130</v>
      </c>
      <c r="D11" s="76" t="s">
        <v>130</v>
      </c>
      <c r="E11" s="73" t="s">
        <v>5</v>
      </c>
      <c r="F11" s="74">
        <f t="shared" si="2"/>
        <v>4</v>
      </c>
      <c r="G11" s="74">
        <v>3.0</v>
      </c>
      <c r="H11" s="75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65" t="b">
        <v>0</v>
      </c>
      <c r="B12" s="72" t="s">
        <v>446</v>
      </c>
      <c r="C12" s="76" t="s">
        <v>130</v>
      </c>
      <c r="D12" s="76" t="s">
        <v>130</v>
      </c>
      <c r="E12" s="73" t="s">
        <v>5</v>
      </c>
      <c r="F12" s="74">
        <f t="shared" si="2"/>
        <v>4</v>
      </c>
      <c r="G12" s="74">
        <v>3.0</v>
      </c>
      <c r="H12" s="75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75" customHeight="1">
      <c r="A13" s="65" t="b">
        <v>0</v>
      </c>
      <c r="B13" s="72" t="s">
        <v>447</v>
      </c>
      <c r="C13" s="76" t="s">
        <v>130</v>
      </c>
      <c r="D13" s="76" t="s">
        <v>130</v>
      </c>
      <c r="E13" s="73" t="s">
        <v>5</v>
      </c>
      <c r="F13" s="74">
        <f t="shared" si="2"/>
        <v>4</v>
      </c>
      <c r="G13" s="74">
        <v>3.0</v>
      </c>
      <c r="H13" s="75" t="str">
        <f>IFERROR(__xludf.DUMMYFUNCTION("SPARKLINE(F13,{""charttype"",""bar"";""max"",5;""min"",1;""color1"",""#180c56""})"),"")</f>
        <v/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75" customHeight="1">
      <c r="A14" s="65" t="b">
        <v>0</v>
      </c>
      <c r="B14" s="72" t="s">
        <v>448</v>
      </c>
      <c r="C14" s="76" t="s">
        <v>130</v>
      </c>
      <c r="D14" s="76" t="s">
        <v>130</v>
      </c>
      <c r="E14" s="73" t="s">
        <v>5</v>
      </c>
      <c r="F14" s="74">
        <f t="shared" si="2"/>
        <v>4</v>
      </c>
      <c r="G14" s="74">
        <v>3.0</v>
      </c>
      <c r="H14" s="75" t="str">
        <f>IFERROR(__xludf.DUMMYFUNCTION("SPARKLINE(F14,{""charttype"",""bar"";""max"",5;""min"",1;""color1"",""#180c56""})"),"")</f>
        <v/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65" t="b">
        <v>0</v>
      </c>
      <c r="B15" s="72" t="s">
        <v>449</v>
      </c>
      <c r="C15" s="76" t="s">
        <v>130</v>
      </c>
      <c r="D15" s="76" t="s">
        <v>130</v>
      </c>
      <c r="E15" s="73" t="s">
        <v>5</v>
      </c>
      <c r="F15" s="74">
        <f t="shared" si="2"/>
        <v>4</v>
      </c>
      <c r="G15" s="74">
        <v>3.0</v>
      </c>
      <c r="H15" s="75" t="str">
        <f>IFERROR(__xludf.DUMMYFUNCTION("SPARKLINE(F15,{""charttype"",""bar"";""max"",5;""min"",1;""color1"",""#180c56""})"),"")</f>
        <v/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75" customHeight="1">
      <c r="A16" s="65" t="b">
        <v>0</v>
      </c>
      <c r="B16" s="72" t="s">
        <v>450</v>
      </c>
      <c r="C16" s="76" t="s">
        <v>130</v>
      </c>
      <c r="D16" s="76" t="s">
        <v>130</v>
      </c>
      <c r="E16" s="73" t="s">
        <v>5</v>
      </c>
      <c r="F16" s="74">
        <f t="shared" si="2"/>
        <v>4</v>
      </c>
      <c r="G16" s="74">
        <v>3.0</v>
      </c>
      <c r="H16" s="75" t="str">
        <f>IFERROR(__xludf.DUMMYFUNCTION("SPARKLINE(F16,{""charttype"",""bar"";""max"",5;""min"",1;""color1"",""#180c56""})"),"")</f>
        <v/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75" customHeight="1">
      <c r="A17" s="65" t="b">
        <v>0</v>
      </c>
      <c r="B17" s="72" t="s">
        <v>451</v>
      </c>
      <c r="C17" s="76" t="s">
        <v>130</v>
      </c>
      <c r="D17" s="76" t="s">
        <v>130</v>
      </c>
      <c r="E17" s="73" t="s">
        <v>5</v>
      </c>
      <c r="F17" s="74">
        <f t="shared" si="2"/>
        <v>4</v>
      </c>
      <c r="G17" s="74">
        <v>3.0</v>
      </c>
      <c r="H17" s="75" t="str">
        <f>IFERROR(__xludf.DUMMYFUNCTION("SPARKLINE(F17,{""charttype"",""bar"";""max"",5;""min"",1;""color1"",""#180c56""})"),"")</f>
        <v/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75" customHeight="1">
      <c r="A18" s="65" t="b">
        <v>0</v>
      </c>
      <c r="B18" s="72" t="s">
        <v>452</v>
      </c>
      <c r="C18" s="76" t="s">
        <v>130</v>
      </c>
      <c r="D18" s="76" t="s">
        <v>130</v>
      </c>
      <c r="E18" s="73" t="s">
        <v>5</v>
      </c>
      <c r="F18" s="74">
        <f t="shared" si="2"/>
        <v>4</v>
      </c>
      <c r="G18" s="74">
        <v>3.0</v>
      </c>
      <c r="H18" s="75" t="str">
        <f>IFERROR(__xludf.DUMMYFUNCTION("SPARKLINE(F18,{""charttype"",""bar"";""max"",5;""min"",1;""color1"",""#180c56""})"),"")</f>
        <v/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75" customHeight="1">
      <c r="A19" s="65" t="b">
        <v>0</v>
      </c>
      <c r="B19" s="72" t="s">
        <v>453</v>
      </c>
      <c r="C19" s="76" t="s">
        <v>130</v>
      </c>
      <c r="D19" s="76" t="s">
        <v>130</v>
      </c>
      <c r="E19" s="73" t="s">
        <v>5</v>
      </c>
      <c r="F19" s="74">
        <f t="shared" si="2"/>
        <v>4</v>
      </c>
      <c r="G19" s="74">
        <v>3.0</v>
      </c>
      <c r="H19" s="75" t="str">
        <f>IFERROR(__xludf.DUMMYFUNCTION("SPARKLINE(F19,{""charttype"",""bar"";""max"",5;""min"",1;""color1"",""#180c56""})"),"")</f>
        <v/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65" t="b">
        <v>0</v>
      </c>
      <c r="B20" s="72" t="s">
        <v>454</v>
      </c>
      <c r="C20" s="76" t="s">
        <v>130</v>
      </c>
      <c r="D20" s="76" t="s">
        <v>130</v>
      </c>
      <c r="E20" s="73" t="s">
        <v>5</v>
      </c>
      <c r="F20" s="74">
        <f t="shared" si="2"/>
        <v>4</v>
      </c>
      <c r="G20" s="74">
        <v>3.0</v>
      </c>
      <c r="H20" s="75" t="str">
        <f>IFERROR(__xludf.DUMMYFUNCTION("SPARKLINE(F20,{""charttype"",""bar"";""max"",5;""min"",1;""color1"",""#180c56""})"),"")</f>
        <v/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65" t="b">
        <v>0</v>
      </c>
      <c r="B21" s="72" t="s">
        <v>455</v>
      </c>
      <c r="C21" s="76" t="s">
        <v>130</v>
      </c>
      <c r="D21" s="76" t="s">
        <v>130</v>
      </c>
      <c r="E21" s="73" t="s">
        <v>5</v>
      </c>
      <c r="F21" s="74">
        <f t="shared" si="2"/>
        <v>4</v>
      </c>
      <c r="G21" s="74">
        <v>3.0</v>
      </c>
      <c r="H21" s="75" t="str">
        <f>IFERROR(__xludf.DUMMYFUNCTION("SPARKLINE(F21,{""charttype"",""bar"";""max"",5;""min"",1;""color1"",""#180c56""})"),"")</f>
        <v/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65" t="b">
        <v>0</v>
      </c>
      <c r="B22" s="72" t="s">
        <v>456</v>
      </c>
      <c r="C22" s="76" t="s">
        <v>130</v>
      </c>
      <c r="D22" s="76" t="s">
        <v>130</v>
      </c>
      <c r="E22" s="73" t="s">
        <v>5</v>
      </c>
      <c r="F22" s="74">
        <f t="shared" si="2"/>
        <v>4</v>
      </c>
      <c r="G22" s="74">
        <v>3.0</v>
      </c>
      <c r="H22" s="75" t="str">
        <f>IFERROR(__xludf.DUMMYFUNCTION("SPARKLINE(F22,{""charttype"",""bar"";""max"",5;""min"",1;""color1"",""#180c56""})"),"")</f>
        <v/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65" t="b">
        <v>0</v>
      </c>
      <c r="B23" s="72" t="s">
        <v>457</v>
      </c>
      <c r="C23" s="76" t="s">
        <v>130</v>
      </c>
      <c r="D23" s="76" t="s">
        <v>130</v>
      </c>
      <c r="E23" s="73" t="s">
        <v>5</v>
      </c>
      <c r="F23" s="74">
        <f t="shared" si="2"/>
        <v>4</v>
      </c>
      <c r="G23" s="74">
        <v>3.0</v>
      </c>
      <c r="H23" s="75" t="str">
        <f>IFERROR(__xludf.DUMMYFUNCTION("SPARKLINE(F23,{""charttype"",""bar"";""max"",5;""min"",1;""color1"",""#180c56""})"),"")</f>
        <v/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65" t="b">
        <v>0</v>
      </c>
      <c r="B24" s="72" t="s">
        <v>458</v>
      </c>
      <c r="C24" s="76" t="s">
        <v>130</v>
      </c>
      <c r="D24" s="76" t="s">
        <v>130</v>
      </c>
      <c r="E24" s="73" t="s">
        <v>5</v>
      </c>
      <c r="F24" s="74">
        <f t="shared" si="2"/>
        <v>4</v>
      </c>
      <c r="G24" s="74">
        <v>3.0</v>
      </c>
      <c r="H24" s="75" t="str">
        <f>IFERROR(__xludf.DUMMYFUNCTION("SPARKLINE(F24,{""charttype"",""bar"";""max"",5;""min"",1;""color1"",""#180c56""})"),"")</f>
        <v/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75" customHeight="1">
      <c r="A25" s="65" t="b">
        <v>0</v>
      </c>
      <c r="B25" s="72" t="s">
        <v>459</v>
      </c>
      <c r="C25" s="76" t="s">
        <v>130</v>
      </c>
      <c r="D25" s="76" t="s">
        <v>130</v>
      </c>
      <c r="E25" s="73" t="s">
        <v>5</v>
      </c>
      <c r="F25" s="74">
        <f t="shared" si="2"/>
        <v>4</v>
      </c>
      <c r="G25" s="74">
        <v>3.0</v>
      </c>
      <c r="H25" s="75" t="str">
        <f>IFERROR(__xludf.DUMMYFUNCTION("SPARKLINE(F25,{""charttype"",""bar"";""max"",5;""min"",1;""color1"",""#180c56""})"),"")</f>
        <v/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75" customHeight="1">
      <c r="A26" s="65" t="b">
        <v>0</v>
      </c>
      <c r="B26" s="72" t="s">
        <v>460</v>
      </c>
      <c r="C26" s="76" t="s">
        <v>130</v>
      </c>
      <c r="D26" s="76" t="s">
        <v>130</v>
      </c>
      <c r="E26" s="73" t="s">
        <v>5</v>
      </c>
      <c r="F26" s="74">
        <f t="shared" si="2"/>
        <v>4</v>
      </c>
      <c r="G26" s="74">
        <v>3.0</v>
      </c>
      <c r="H26" s="75" t="str">
        <f>IFERROR(__xludf.DUMMYFUNCTION("SPARKLINE(F26,{""charttype"",""bar"";""max"",5;""min"",1;""color1"",""#180c56""})"),"")</f>
        <v/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75" customHeight="1">
      <c r="A27" s="65" t="b">
        <v>0</v>
      </c>
      <c r="B27" s="72" t="s">
        <v>461</v>
      </c>
      <c r="C27" s="76" t="s">
        <v>130</v>
      </c>
      <c r="D27" s="76" t="s">
        <v>130</v>
      </c>
      <c r="E27" s="73" t="s">
        <v>5</v>
      </c>
      <c r="F27" s="74">
        <f t="shared" si="2"/>
        <v>4</v>
      </c>
      <c r="G27" s="74">
        <v>3.0</v>
      </c>
      <c r="H27" s="75" t="str">
        <f>IFERROR(__xludf.DUMMYFUNCTION("SPARKLINE(F27,{""charttype"",""bar"";""max"",5;""min"",1;""color1"",""#180c56""})"),"")</f>
        <v/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75" customHeight="1">
      <c r="A28" s="65" t="b">
        <v>0</v>
      </c>
      <c r="B28" s="72" t="s">
        <v>462</v>
      </c>
      <c r="C28" s="76" t="s">
        <v>130</v>
      </c>
      <c r="D28" s="76" t="s">
        <v>130</v>
      </c>
      <c r="E28" s="73" t="s">
        <v>5</v>
      </c>
      <c r="F28" s="74">
        <f t="shared" si="2"/>
        <v>4</v>
      </c>
      <c r="G28" s="74">
        <v>3.0</v>
      </c>
      <c r="H28" s="75" t="str">
        <f>IFERROR(__xludf.DUMMYFUNCTION("SPARKLINE(F28,{""charttype"",""bar"";""max"",5;""min"",1;""color1"",""#180c56""})"),"")</f>
        <v/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65" t="b">
        <v>0</v>
      </c>
      <c r="B29" s="72" t="s">
        <v>463</v>
      </c>
      <c r="C29" s="76" t="s">
        <v>130</v>
      </c>
      <c r="D29" s="76" t="s">
        <v>130</v>
      </c>
      <c r="E29" s="73" t="s">
        <v>5</v>
      </c>
      <c r="F29" s="74">
        <f t="shared" si="2"/>
        <v>4</v>
      </c>
      <c r="G29" s="74">
        <v>3.0</v>
      </c>
      <c r="H29" s="75" t="str">
        <f>IFERROR(__xludf.DUMMYFUNCTION("SPARKLINE(F29,{""charttype"",""bar"";""max"",5;""min"",1;""color1"",""#180c56""})"),"")</f>
        <v/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22.5" customHeight="1">
      <c r="A30" s="89" t="s">
        <v>464</v>
      </c>
      <c r="B30" s="90" t="s">
        <v>379</v>
      </c>
      <c r="C30" s="95"/>
      <c r="D30" s="95"/>
      <c r="E30" s="95"/>
      <c r="F30" s="62"/>
      <c r="G30" s="62"/>
      <c r="H30" s="63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ht="18.75" customHeight="1">
      <c r="A31" s="98" t="b">
        <v>0</v>
      </c>
      <c r="B31" s="91" t="s">
        <v>465</v>
      </c>
      <c r="C31" s="76" t="s">
        <v>130</v>
      </c>
      <c r="D31" s="76" t="s">
        <v>130</v>
      </c>
      <c r="E31" s="73" t="s">
        <v>5</v>
      </c>
      <c r="F31" s="74">
        <f t="shared" ref="F31:F33" si="3">IF(E31="Not Relevant","",IF(E31="Good","",IF(E31="Bad",2,1)))+G31</f>
        <v>3</v>
      </c>
      <c r="G31" s="74">
        <v>2.0</v>
      </c>
      <c r="H31" s="75" t="str">
        <f>IFERROR(__xludf.DUMMYFUNCTION("SPARKLINE(F31,{""charttype"",""bar"";""max"",5;""min"",1;""color1"",""#180c56""})"),"")</f>
        <v/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75" customHeight="1">
      <c r="A32" s="98" t="b">
        <v>0</v>
      </c>
      <c r="B32" s="72" t="s">
        <v>466</v>
      </c>
      <c r="C32" s="76" t="s">
        <v>130</v>
      </c>
      <c r="D32" s="76" t="s">
        <v>130</v>
      </c>
      <c r="E32" s="73" t="s">
        <v>5</v>
      </c>
      <c r="F32" s="74">
        <f t="shared" si="3"/>
        <v>3</v>
      </c>
      <c r="G32" s="74">
        <v>2.0</v>
      </c>
      <c r="H32" s="75" t="str">
        <f>IFERROR(__xludf.DUMMYFUNCTION("SPARKLINE(F32,{""charttype"",""bar"";""max"",5;""min"",1;""color1"",""#180c56""})"),"")</f>
        <v/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75" customHeight="1">
      <c r="A33" s="65" t="b">
        <v>0</v>
      </c>
      <c r="B33" s="72" t="s">
        <v>467</v>
      </c>
      <c r="C33" s="76" t="s">
        <v>130</v>
      </c>
      <c r="D33" s="76" t="s">
        <v>130</v>
      </c>
      <c r="E33" s="73" t="s">
        <v>5</v>
      </c>
      <c r="F33" s="74">
        <f t="shared" si="3"/>
        <v>3</v>
      </c>
      <c r="G33" s="74">
        <v>2.0</v>
      </c>
      <c r="H33" s="75" t="str">
        <f>IFERROR(__xludf.DUMMYFUNCTION("SPARKLINE(F33,{""charttype"",""bar"";""max"",5;""min"",1;""color1"",""#180c56""})"),"")</f>
        <v/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22.5" customHeight="1">
      <c r="A34" s="60" t="s">
        <v>121</v>
      </c>
      <c r="B34" s="61" t="s">
        <v>310</v>
      </c>
      <c r="C34" s="62"/>
      <c r="D34" s="62"/>
      <c r="E34" s="62"/>
      <c r="F34" s="62"/>
      <c r="G34" s="62"/>
      <c r="H34" s="63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ht="18.75" customHeight="1">
      <c r="A35" s="65" t="b">
        <v>0</v>
      </c>
      <c r="B35" s="72" t="s">
        <v>468</v>
      </c>
      <c r="C35" s="76" t="s">
        <v>130</v>
      </c>
      <c r="D35" s="76" t="s">
        <v>130</v>
      </c>
      <c r="E35" s="73" t="s">
        <v>5</v>
      </c>
      <c r="F35" s="74">
        <f t="shared" ref="F35:F44" si="4">IF(E35="Not Relevant","",IF(E35="Good","",IF(E35="Bad",2,1)))+G35</f>
        <v>4</v>
      </c>
      <c r="G35" s="74">
        <v>3.0</v>
      </c>
      <c r="H35" s="75" t="str">
        <f>IFERROR(__xludf.DUMMYFUNCTION("SPARKLINE(F35,{""charttype"",""bar"";""max"",5;""min"",1;""color1"",""#180c56""})"),"")</f>
        <v/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65" t="b">
        <v>0</v>
      </c>
      <c r="B36" s="72" t="s">
        <v>469</v>
      </c>
      <c r="C36" s="76" t="s">
        <v>130</v>
      </c>
      <c r="D36" s="76" t="s">
        <v>130</v>
      </c>
      <c r="E36" s="73" t="s">
        <v>5</v>
      </c>
      <c r="F36" s="74">
        <f t="shared" si="4"/>
        <v>3</v>
      </c>
      <c r="G36" s="74">
        <v>2.0</v>
      </c>
      <c r="H36" s="75" t="str">
        <f>IFERROR(__xludf.DUMMYFUNCTION("SPARKLINE(F36,{""charttype"",""bar"";""max"",5;""min"",1;""color1"",""#180c56""})"),"")</f>
        <v/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65" t="b">
        <v>0</v>
      </c>
      <c r="B37" s="72" t="s">
        <v>470</v>
      </c>
      <c r="C37" s="76" t="s">
        <v>130</v>
      </c>
      <c r="D37" s="76" t="s">
        <v>130</v>
      </c>
      <c r="E37" s="73" t="s">
        <v>5</v>
      </c>
      <c r="F37" s="74">
        <f t="shared" si="4"/>
        <v>4</v>
      </c>
      <c r="G37" s="74">
        <v>3.0</v>
      </c>
      <c r="H37" s="75" t="str">
        <f>IFERROR(__xludf.DUMMYFUNCTION("SPARKLINE(F37,{""charttype"",""bar"";""max"",5;""min"",1;""color1"",""#180c56""})"),"")</f>
        <v/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65" t="b">
        <v>0</v>
      </c>
      <c r="B38" s="72" t="s">
        <v>471</v>
      </c>
      <c r="C38" s="76" t="s">
        <v>130</v>
      </c>
      <c r="D38" s="76" t="s">
        <v>130</v>
      </c>
      <c r="E38" s="73" t="s">
        <v>5</v>
      </c>
      <c r="F38" s="74">
        <f t="shared" si="4"/>
        <v>3</v>
      </c>
      <c r="G38" s="74">
        <v>2.0</v>
      </c>
      <c r="H38" s="75" t="str">
        <f>IFERROR(__xludf.DUMMYFUNCTION("SPARKLINE(F38,{""charttype"",""bar"";""max"",5;""min"",1;""color1"",""#180c56""})"),"")</f>
        <v/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75" customHeight="1">
      <c r="A39" s="65" t="b">
        <v>0</v>
      </c>
      <c r="B39" s="72" t="s">
        <v>472</v>
      </c>
      <c r="C39" s="76" t="s">
        <v>130</v>
      </c>
      <c r="D39" s="76" t="s">
        <v>130</v>
      </c>
      <c r="E39" s="73" t="s">
        <v>5</v>
      </c>
      <c r="F39" s="74">
        <f t="shared" si="4"/>
        <v>2</v>
      </c>
      <c r="G39" s="74">
        <v>1.0</v>
      </c>
      <c r="H39" s="75" t="str">
        <f>IFERROR(__xludf.DUMMYFUNCTION("SPARKLINE(F39,{""charttype"",""bar"";""max"",5;""min"",1;""color1"",""#180c56""})"),"")</f>
        <v/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75" customHeight="1">
      <c r="A40" s="65" t="b">
        <v>0</v>
      </c>
      <c r="B40" s="72" t="s">
        <v>473</v>
      </c>
      <c r="C40" s="76" t="s">
        <v>130</v>
      </c>
      <c r="D40" s="76" t="s">
        <v>130</v>
      </c>
      <c r="E40" s="73" t="s">
        <v>5</v>
      </c>
      <c r="F40" s="74">
        <f t="shared" si="4"/>
        <v>4</v>
      </c>
      <c r="G40" s="74">
        <v>3.0</v>
      </c>
      <c r="H40" s="75" t="str">
        <f>IFERROR(__xludf.DUMMYFUNCTION("SPARKLINE(F40,{""charttype"",""bar"";""max"",5;""min"",1;""color1"",""#180c56""})"),"")</f>
        <v/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65" t="b">
        <v>0</v>
      </c>
      <c r="B41" s="72" t="s">
        <v>474</v>
      </c>
      <c r="C41" s="76" t="s">
        <v>130</v>
      </c>
      <c r="D41" s="76" t="s">
        <v>130</v>
      </c>
      <c r="E41" s="73" t="s">
        <v>5</v>
      </c>
      <c r="F41" s="74">
        <f t="shared" si="4"/>
        <v>3</v>
      </c>
      <c r="G41" s="74">
        <v>2.0</v>
      </c>
      <c r="H41" s="75" t="str">
        <f>IFERROR(__xludf.DUMMYFUNCTION("SPARKLINE(F41,{""charttype"",""bar"";""max"",5;""min"",1;""color1"",""#180c56""})"),"")</f>
        <v/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65" t="b">
        <v>0</v>
      </c>
      <c r="B42" s="72" t="s">
        <v>475</v>
      </c>
      <c r="C42" s="76" t="s">
        <v>130</v>
      </c>
      <c r="D42" s="76" t="s">
        <v>130</v>
      </c>
      <c r="E42" s="73" t="s">
        <v>5</v>
      </c>
      <c r="F42" s="74">
        <f t="shared" si="4"/>
        <v>2</v>
      </c>
      <c r="G42" s="74">
        <v>1.0</v>
      </c>
      <c r="H42" s="75" t="str">
        <f>IFERROR(__xludf.DUMMYFUNCTION("SPARKLINE(F42,{""charttype"",""bar"";""max"",5;""min"",1;""color1"",""#180c56""})"),"")</f>
        <v/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65" t="b">
        <v>1</v>
      </c>
      <c r="B43" s="72" t="s">
        <v>476</v>
      </c>
      <c r="C43" s="76" t="s">
        <v>130</v>
      </c>
      <c r="D43" s="76" t="s">
        <v>130</v>
      </c>
      <c r="E43" s="73" t="s">
        <v>5</v>
      </c>
      <c r="F43" s="74">
        <f t="shared" si="4"/>
        <v>3</v>
      </c>
      <c r="G43" s="74">
        <v>2.0</v>
      </c>
      <c r="H43" s="75" t="str">
        <f>IFERROR(__xludf.DUMMYFUNCTION("SPARKLINE(F43,{""charttype"",""bar"";""max"",5;""min"",1;""color1"",""#180c56""})"),"")</f>
        <v/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77" t="b">
        <v>1</v>
      </c>
      <c r="B44" s="78" t="s">
        <v>477</v>
      </c>
      <c r="C44" s="76" t="s">
        <v>130</v>
      </c>
      <c r="D44" s="76" t="s">
        <v>130</v>
      </c>
      <c r="E44" s="80" t="s">
        <v>5</v>
      </c>
      <c r="F44" s="81">
        <f t="shared" si="4"/>
        <v>3</v>
      </c>
      <c r="G44" s="81">
        <v>2.0</v>
      </c>
      <c r="H44" s="82" t="str">
        <f>IFERROR(__xludf.DUMMYFUNCTION("SPARKLINE(F44,{""charttype"",""bar"";""max"",5;""min"",1;""color1"",""#180c56""})"),"")</f>
        <v/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37"/>
      <c r="B45" s="83"/>
      <c r="C45" s="37"/>
      <c r="D45" s="37"/>
      <c r="E45" s="37"/>
      <c r="F45" s="37"/>
      <c r="G45" s="3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37"/>
      <c r="B46" s="83"/>
      <c r="C46" s="37"/>
      <c r="D46" s="37"/>
      <c r="E46" s="37"/>
      <c r="F46" s="37"/>
      <c r="G46" s="3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37"/>
      <c r="B47" s="83"/>
      <c r="C47" s="37"/>
      <c r="D47" s="37"/>
      <c r="E47" s="37"/>
      <c r="F47" s="37"/>
      <c r="G47" s="3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37"/>
      <c r="B48" s="83"/>
      <c r="C48" s="37"/>
      <c r="D48" s="37"/>
      <c r="E48" s="37"/>
      <c r="F48" s="37"/>
      <c r="G48" s="3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75" customHeight="1">
      <c r="A49" s="37"/>
      <c r="B49" s="83"/>
      <c r="C49" s="37"/>
      <c r="D49" s="37"/>
      <c r="E49" s="37"/>
      <c r="F49" s="37"/>
      <c r="G49" s="3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75" customHeight="1">
      <c r="A50" s="37"/>
      <c r="B50" s="83"/>
      <c r="C50" s="37"/>
      <c r="D50" s="37"/>
      <c r="E50" s="37"/>
      <c r="F50" s="37"/>
      <c r="G50" s="3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75" customHeight="1">
      <c r="A51" s="37"/>
      <c r="B51" s="83"/>
      <c r="C51" s="37"/>
      <c r="D51" s="37"/>
      <c r="E51" s="37"/>
      <c r="F51" s="37"/>
      <c r="G51" s="3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37"/>
      <c r="B52" s="83"/>
      <c r="C52" s="37"/>
      <c r="D52" s="37"/>
      <c r="E52" s="37"/>
      <c r="F52" s="37"/>
      <c r="G52" s="3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37"/>
      <c r="B53" s="83"/>
      <c r="C53" s="37"/>
      <c r="D53" s="37"/>
      <c r="E53" s="37"/>
      <c r="F53" s="37"/>
      <c r="G53" s="3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37"/>
      <c r="B54" s="83"/>
      <c r="C54" s="37"/>
      <c r="D54" s="37"/>
      <c r="E54" s="37"/>
      <c r="F54" s="37"/>
      <c r="G54" s="3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37"/>
      <c r="B55" s="83"/>
      <c r="C55" s="37"/>
      <c r="D55" s="37"/>
      <c r="E55" s="37"/>
      <c r="F55" s="37"/>
      <c r="G55" s="3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37"/>
      <c r="B56" s="83"/>
      <c r="C56" s="37"/>
      <c r="D56" s="37"/>
      <c r="E56" s="37"/>
      <c r="F56" s="37"/>
      <c r="G56" s="3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37"/>
      <c r="B57" s="83"/>
      <c r="C57" s="37"/>
      <c r="D57" s="37"/>
      <c r="E57" s="37"/>
      <c r="F57" s="37"/>
      <c r="G57" s="3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75" customHeight="1">
      <c r="A58" s="37"/>
      <c r="B58" s="83"/>
      <c r="C58" s="37"/>
      <c r="D58" s="37"/>
      <c r="E58" s="37"/>
      <c r="F58" s="37"/>
      <c r="G58" s="3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75" customHeight="1">
      <c r="A59" s="37"/>
      <c r="B59" s="83"/>
      <c r="C59" s="37"/>
      <c r="D59" s="37"/>
      <c r="E59" s="37"/>
      <c r="F59" s="37"/>
      <c r="G59" s="3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75" customHeight="1">
      <c r="A60" s="37"/>
      <c r="B60" s="83"/>
      <c r="C60" s="37"/>
      <c r="D60" s="37"/>
      <c r="E60" s="37"/>
      <c r="F60" s="37"/>
      <c r="G60" s="3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37"/>
      <c r="B61" s="83"/>
      <c r="C61" s="37"/>
      <c r="D61" s="37"/>
      <c r="E61" s="37"/>
      <c r="F61" s="37"/>
      <c r="G61" s="3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37"/>
      <c r="B62" s="83"/>
      <c r="C62" s="37"/>
      <c r="D62" s="37"/>
      <c r="E62" s="37"/>
      <c r="F62" s="37"/>
      <c r="G62" s="3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37"/>
      <c r="B63" s="83"/>
      <c r="C63" s="37"/>
      <c r="D63" s="37"/>
      <c r="E63" s="37"/>
      <c r="F63" s="37"/>
      <c r="G63" s="3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37"/>
      <c r="B64" s="83"/>
      <c r="C64" s="37"/>
      <c r="D64" s="37"/>
      <c r="E64" s="37"/>
      <c r="F64" s="37"/>
      <c r="G64" s="3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37"/>
      <c r="B65" s="83"/>
      <c r="C65" s="37"/>
      <c r="D65" s="37"/>
      <c r="E65" s="37"/>
      <c r="F65" s="37"/>
      <c r="G65" s="3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37"/>
      <c r="B66" s="83"/>
      <c r="C66" s="37"/>
      <c r="D66" s="37"/>
      <c r="E66" s="37"/>
      <c r="F66" s="37"/>
      <c r="G66" s="3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37"/>
      <c r="B67" s="83"/>
      <c r="C67" s="37"/>
      <c r="D67" s="37"/>
      <c r="E67" s="37"/>
      <c r="F67" s="37"/>
      <c r="G67" s="3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75" customHeight="1">
      <c r="A68" s="37"/>
      <c r="B68" s="83"/>
      <c r="C68" s="37"/>
      <c r="D68" s="37"/>
      <c r="E68" s="37"/>
      <c r="F68" s="37"/>
      <c r="G68" s="3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75" customHeight="1">
      <c r="A69" s="37"/>
      <c r="B69" s="83"/>
      <c r="C69" s="37"/>
      <c r="D69" s="37"/>
      <c r="E69" s="37"/>
      <c r="F69" s="37"/>
      <c r="G69" s="3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37"/>
      <c r="B70" s="83"/>
      <c r="C70" s="37"/>
      <c r="D70" s="37"/>
      <c r="E70" s="37"/>
      <c r="F70" s="37"/>
      <c r="G70" s="3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37"/>
      <c r="B71" s="83"/>
      <c r="C71" s="37"/>
      <c r="D71" s="37"/>
      <c r="E71" s="37"/>
      <c r="F71" s="37"/>
      <c r="G71" s="3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37"/>
      <c r="B72" s="83"/>
      <c r="C72" s="37"/>
      <c r="D72" s="37"/>
      <c r="E72" s="37"/>
      <c r="F72" s="37"/>
      <c r="G72" s="3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37"/>
      <c r="B73" s="83"/>
      <c r="C73" s="37"/>
      <c r="D73" s="37"/>
      <c r="E73" s="37"/>
      <c r="F73" s="37"/>
      <c r="G73" s="3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37"/>
      <c r="B74" s="83"/>
      <c r="C74" s="37"/>
      <c r="D74" s="37"/>
      <c r="E74" s="37"/>
      <c r="F74" s="37"/>
      <c r="G74" s="3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37"/>
      <c r="B75" s="83"/>
      <c r="C75" s="37"/>
      <c r="D75" s="37"/>
      <c r="E75" s="37"/>
      <c r="F75" s="37"/>
      <c r="G75" s="3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37"/>
      <c r="B76" s="83"/>
      <c r="C76" s="37"/>
      <c r="D76" s="37"/>
      <c r="E76" s="37"/>
      <c r="F76" s="37"/>
      <c r="G76" s="3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37"/>
      <c r="B77" s="83"/>
      <c r="C77" s="37"/>
      <c r="D77" s="37"/>
      <c r="E77" s="37"/>
      <c r="F77" s="37"/>
      <c r="G77" s="3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37"/>
      <c r="B78" s="83"/>
      <c r="C78" s="37"/>
      <c r="D78" s="37"/>
      <c r="E78" s="37"/>
      <c r="F78" s="37"/>
      <c r="G78" s="3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8.75" customHeight="1">
      <c r="A960" s="37"/>
      <c r="B960" s="83"/>
      <c r="C960" s="37"/>
      <c r="D960" s="37"/>
      <c r="E960" s="37"/>
      <c r="F960" s="37"/>
      <c r="G960" s="3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8.75" customHeight="1">
      <c r="A961" s="37"/>
      <c r="B961" s="83"/>
      <c r="C961" s="37"/>
      <c r="D961" s="37"/>
      <c r="E961" s="37"/>
      <c r="F961" s="37"/>
      <c r="G961" s="3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8.75" customHeight="1">
      <c r="A962" s="37"/>
      <c r="B962" s="83"/>
      <c r="C962" s="37"/>
      <c r="D962" s="37"/>
      <c r="E962" s="37"/>
      <c r="F962" s="37"/>
      <c r="G962" s="3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8.75" customHeight="1">
      <c r="A963" s="37"/>
      <c r="B963" s="83"/>
      <c r="C963" s="37"/>
      <c r="D963" s="37"/>
      <c r="E963" s="37"/>
      <c r="F963" s="37"/>
      <c r="G963" s="3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8.75" customHeight="1">
      <c r="A964" s="37"/>
      <c r="B964" s="83"/>
      <c r="C964" s="37"/>
      <c r="D964" s="37"/>
      <c r="E964" s="37"/>
      <c r="F964" s="37"/>
      <c r="G964" s="3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8.75" customHeight="1">
      <c r="A965" s="37"/>
      <c r="B965" s="83"/>
      <c r="C965" s="37"/>
      <c r="D965" s="37"/>
      <c r="E965" s="37"/>
      <c r="F965" s="37"/>
      <c r="G965" s="3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8.75" customHeight="1">
      <c r="A966" s="37"/>
      <c r="B966" s="83"/>
      <c r="C966" s="37"/>
      <c r="D966" s="37"/>
      <c r="E966" s="37"/>
      <c r="F966" s="37"/>
      <c r="G966" s="37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8.75" customHeight="1">
      <c r="A967" s="37"/>
      <c r="B967" s="83"/>
      <c r="C967" s="37"/>
      <c r="D967" s="37"/>
      <c r="E967" s="37"/>
      <c r="F967" s="37"/>
      <c r="G967" s="37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8.75" customHeight="1">
      <c r="A968" s="37"/>
      <c r="B968" s="83"/>
      <c r="C968" s="37"/>
      <c r="D968" s="37"/>
      <c r="E968" s="37"/>
      <c r="F968" s="37"/>
      <c r="G968" s="37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8.75" customHeight="1">
      <c r="A969" s="37"/>
      <c r="B969" s="83"/>
      <c r="C969" s="37"/>
      <c r="D969" s="37"/>
      <c r="E969" s="37"/>
      <c r="F969" s="37"/>
      <c r="G969" s="37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8.75" customHeight="1">
      <c r="A970" s="37"/>
      <c r="B970" s="83"/>
      <c r="C970" s="37"/>
      <c r="D970" s="37"/>
      <c r="E970" s="37"/>
      <c r="F970" s="37"/>
      <c r="G970" s="37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8.75" customHeight="1">
      <c r="A971" s="37"/>
      <c r="B971" s="83"/>
      <c r="C971" s="37"/>
      <c r="D971" s="37"/>
      <c r="E971" s="37"/>
      <c r="F971" s="37"/>
      <c r="G971" s="37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8.75" customHeight="1">
      <c r="A972" s="37"/>
      <c r="B972" s="83"/>
      <c r="C972" s="37"/>
      <c r="D972" s="37"/>
      <c r="E972" s="37"/>
      <c r="F972" s="37"/>
      <c r="G972" s="37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8.75" customHeight="1">
      <c r="A973" s="37"/>
      <c r="B973" s="83"/>
      <c r="C973" s="37"/>
      <c r="D973" s="37"/>
      <c r="E973" s="37"/>
      <c r="F973" s="37"/>
      <c r="G973" s="37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8.75" customHeight="1">
      <c r="A974" s="37"/>
      <c r="B974" s="83"/>
      <c r="C974" s="37"/>
      <c r="D974" s="37"/>
      <c r="E974" s="37"/>
      <c r="F974" s="37"/>
      <c r="G974" s="37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8.75" customHeight="1">
      <c r="A975" s="37"/>
      <c r="B975" s="83"/>
      <c r="C975" s="37"/>
      <c r="D975" s="37"/>
      <c r="E975" s="37"/>
      <c r="F975" s="37"/>
      <c r="G975" s="37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8.75" customHeight="1">
      <c r="A976" s="37"/>
      <c r="B976" s="83"/>
      <c r="C976" s="37"/>
      <c r="D976" s="37"/>
      <c r="E976" s="37"/>
      <c r="F976" s="37"/>
      <c r="G976" s="37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8.75" customHeight="1">
      <c r="A977" s="37"/>
      <c r="B977" s="83"/>
      <c r="C977" s="37"/>
      <c r="D977" s="37"/>
      <c r="E977" s="37"/>
      <c r="F977" s="37"/>
      <c r="G977" s="37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8.75" customHeight="1">
      <c r="A978" s="37"/>
      <c r="B978" s="83"/>
      <c r="C978" s="37"/>
      <c r="D978" s="37"/>
      <c r="E978" s="37"/>
      <c r="F978" s="37"/>
      <c r="G978" s="37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8.75" customHeight="1">
      <c r="A979" s="37"/>
      <c r="B979" s="83"/>
      <c r="C979" s="37"/>
      <c r="D979" s="37"/>
      <c r="E979" s="37"/>
      <c r="F979" s="37"/>
      <c r="G979" s="37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8.75" customHeight="1">
      <c r="A980" s="37"/>
      <c r="B980" s="83"/>
      <c r="C980" s="37"/>
      <c r="D980" s="37"/>
      <c r="E980" s="37"/>
      <c r="F980" s="37"/>
      <c r="G980" s="37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8.75" customHeight="1">
      <c r="A981" s="37"/>
      <c r="B981" s="83"/>
      <c r="C981" s="37"/>
      <c r="D981" s="37"/>
      <c r="E981" s="37"/>
      <c r="F981" s="37"/>
      <c r="G981" s="37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8.75" customHeight="1">
      <c r="A982" s="37"/>
      <c r="B982" s="83"/>
      <c r="C982" s="37"/>
      <c r="D982" s="37"/>
      <c r="E982" s="37"/>
      <c r="F982" s="37"/>
      <c r="G982" s="37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8.75" customHeight="1">
      <c r="A983" s="37"/>
      <c r="B983" s="83"/>
      <c r="C983" s="37"/>
      <c r="D983" s="37"/>
      <c r="E983" s="37"/>
      <c r="F983" s="37"/>
      <c r="G983" s="37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8.75" customHeight="1">
      <c r="A984" s="37"/>
      <c r="B984" s="83"/>
      <c r="C984" s="37"/>
      <c r="D984" s="37"/>
      <c r="E984" s="37"/>
      <c r="F984" s="37"/>
      <c r="G984" s="37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8.75" customHeight="1">
      <c r="A985" s="37"/>
      <c r="B985" s="83"/>
      <c r="C985" s="37"/>
      <c r="D985" s="37"/>
      <c r="E985" s="37"/>
      <c r="F985" s="37"/>
      <c r="G985" s="37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8.75" customHeight="1">
      <c r="A986" s="37"/>
      <c r="B986" s="83"/>
      <c r="C986" s="37"/>
      <c r="D986" s="37"/>
      <c r="E986" s="37"/>
      <c r="F986" s="37"/>
      <c r="G986" s="37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8.75" customHeight="1">
      <c r="A987" s="37"/>
      <c r="B987" s="83"/>
      <c r="C987" s="37"/>
      <c r="D987" s="37"/>
      <c r="E987" s="37"/>
      <c r="F987" s="37"/>
      <c r="G987" s="37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ht="18.75" customHeight="1">
      <c r="A988" s="37"/>
      <c r="B988" s="83"/>
      <c r="C988" s="37"/>
      <c r="D988" s="37"/>
      <c r="E988" s="37"/>
      <c r="F988" s="37"/>
      <c r="G988" s="37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ht="18.75" customHeight="1">
      <c r="A989" s="37"/>
      <c r="B989" s="83"/>
      <c r="C989" s="37"/>
      <c r="D989" s="37"/>
      <c r="E989" s="37"/>
      <c r="F989" s="37"/>
      <c r="G989" s="37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ht="18.75" customHeight="1">
      <c r="A990" s="37"/>
      <c r="B990" s="83"/>
      <c r="C990" s="37"/>
      <c r="D990" s="37"/>
      <c r="E990" s="37"/>
      <c r="F990" s="37"/>
      <c r="G990" s="37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ht="18.75" customHeight="1">
      <c r="A991" s="37"/>
      <c r="B991" s="83"/>
      <c r="C991" s="37"/>
      <c r="D991" s="37"/>
      <c r="E991" s="37"/>
      <c r="F991" s="37"/>
      <c r="G991" s="37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</sheetData>
  <conditionalFormatting sqref="B3:B44">
    <cfRule type="expression" dxfId="2" priority="1">
      <formula>$A3=TRUE</formula>
    </cfRule>
  </conditionalFormatting>
  <conditionalFormatting sqref="A3:H44">
    <cfRule type="expression" dxfId="0" priority="2">
      <formula>$A3=TRUE</formula>
    </cfRule>
  </conditionalFormatting>
  <conditionalFormatting sqref="E3:E44">
    <cfRule type="cellIs" dxfId="3" priority="3" operator="equal">
      <formula>"Done"</formula>
    </cfRule>
  </conditionalFormatting>
  <conditionalFormatting sqref="E3:E44">
    <cfRule type="cellIs" dxfId="4" priority="4" operator="equal">
      <formula>"Can be Improved"</formula>
    </cfRule>
  </conditionalFormatting>
  <conditionalFormatting sqref="E3:E44">
    <cfRule type="cellIs" dxfId="5" priority="5" operator="equal">
      <formula>"To Do"</formula>
    </cfRule>
  </conditionalFormatting>
  <conditionalFormatting sqref="A3:H44">
    <cfRule type="expression" dxfId="1" priority="6">
      <formula>OR($E3="Done",$E3="Irrelevant")</formula>
    </cfRule>
  </conditionalFormatting>
  <dataValidations>
    <dataValidation type="list" allowBlank="1" sqref="E4:E6 E8:E29 E31:E33 E35:E44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8"/>
    <hyperlink r:id="rId8" ref="D8"/>
    <hyperlink r:id="rId9" ref="C9"/>
    <hyperlink r:id="rId10" ref="D9"/>
    <hyperlink r:id="rId11" ref="C10"/>
    <hyperlink r:id="rId12" ref="D10"/>
    <hyperlink r:id="rId13" ref="C11"/>
    <hyperlink r:id="rId14" ref="D11"/>
    <hyperlink r:id="rId15" ref="C12"/>
    <hyperlink r:id="rId16" ref="D12"/>
    <hyperlink r:id="rId17" ref="C13"/>
    <hyperlink r:id="rId18" ref="D13"/>
    <hyperlink r:id="rId19" ref="C14"/>
    <hyperlink r:id="rId20" ref="D14"/>
    <hyperlink r:id="rId21" ref="C15"/>
    <hyperlink r:id="rId22" ref="D15"/>
    <hyperlink r:id="rId23" ref="C16"/>
    <hyperlink r:id="rId24" ref="D16"/>
    <hyperlink r:id="rId25" ref="C17"/>
    <hyperlink r:id="rId26" ref="D17"/>
    <hyperlink r:id="rId27" ref="C18"/>
    <hyperlink r:id="rId28" ref="D18"/>
    <hyperlink r:id="rId29" ref="C19"/>
    <hyperlink r:id="rId30" ref="D19"/>
    <hyperlink r:id="rId31" ref="C20"/>
    <hyperlink r:id="rId32" ref="D20"/>
    <hyperlink r:id="rId33" ref="C21"/>
    <hyperlink r:id="rId34" ref="D21"/>
    <hyperlink r:id="rId35" ref="C22"/>
    <hyperlink r:id="rId36" ref="D22"/>
    <hyperlink r:id="rId37" ref="C23"/>
    <hyperlink r:id="rId38" ref="D23"/>
    <hyperlink r:id="rId39" ref="C24"/>
    <hyperlink r:id="rId40" ref="D24"/>
    <hyperlink r:id="rId41" ref="C25"/>
    <hyperlink r:id="rId42" ref="D25"/>
    <hyperlink r:id="rId43" ref="C26"/>
    <hyperlink r:id="rId44" ref="D26"/>
    <hyperlink r:id="rId45" ref="C27"/>
    <hyperlink r:id="rId46" ref="D27"/>
    <hyperlink r:id="rId47" ref="C28"/>
    <hyperlink r:id="rId48" ref="D28"/>
    <hyperlink r:id="rId49" ref="C29"/>
    <hyperlink r:id="rId50" ref="D29"/>
    <hyperlink r:id="rId51" ref="C31"/>
    <hyperlink r:id="rId52" ref="D31"/>
    <hyperlink r:id="rId53" ref="C32"/>
    <hyperlink r:id="rId54" ref="D32"/>
    <hyperlink r:id="rId55" ref="C33"/>
    <hyperlink r:id="rId56" ref="D33"/>
    <hyperlink r:id="rId57" ref="C35"/>
    <hyperlink r:id="rId58" ref="D35"/>
    <hyperlink r:id="rId59" ref="C36"/>
    <hyperlink r:id="rId60" ref="D36"/>
    <hyperlink r:id="rId61" ref="C37"/>
    <hyperlink r:id="rId62" ref="D37"/>
    <hyperlink r:id="rId63" ref="C38"/>
    <hyperlink r:id="rId64" ref="D38"/>
    <hyperlink r:id="rId65" ref="C39"/>
    <hyperlink r:id="rId66" ref="D39"/>
    <hyperlink r:id="rId67" ref="C40"/>
    <hyperlink r:id="rId68" ref="D40"/>
    <hyperlink r:id="rId69" ref="C41"/>
    <hyperlink r:id="rId70" ref="D41"/>
    <hyperlink r:id="rId71" ref="C42"/>
    <hyperlink r:id="rId72" ref="D42"/>
    <hyperlink r:id="rId73" ref="C43"/>
    <hyperlink r:id="rId74" ref="D43"/>
    <hyperlink r:id="rId75" ref="C44"/>
    <hyperlink r:id="rId76" ref="D44"/>
  </hyperlinks>
  <drawing r:id="rId7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111.63"/>
    <col customWidth="1" min="3" max="4" width="10.13"/>
    <col customWidth="1" min="5" max="5" width="15.13"/>
    <col customWidth="1" hidden="1" min="6" max="6" width="10.13"/>
    <col customWidth="1" min="7" max="7" width="10.13"/>
    <col customWidth="1" min="8" max="8" width="16.38"/>
    <col hidden="1" min="9" max="25" width="12.63"/>
  </cols>
  <sheetData>
    <row r="1" ht="52.5" customHeight="1">
      <c r="A1" s="1"/>
      <c r="B1" s="3" t="s">
        <v>478</v>
      </c>
      <c r="C1" s="55"/>
      <c r="D1" s="1"/>
      <c r="E1" s="1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56" t="s">
        <v>479</v>
      </c>
      <c r="B2" s="57" t="s">
        <v>480</v>
      </c>
      <c r="C2" s="58" t="s">
        <v>123</v>
      </c>
      <c r="D2" s="58" t="s">
        <v>124</v>
      </c>
      <c r="E2" s="56" t="s">
        <v>125</v>
      </c>
      <c r="F2" s="56" t="s">
        <v>9</v>
      </c>
      <c r="G2" s="56" t="s">
        <v>126</v>
      </c>
      <c r="H2" s="56" t="s">
        <v>127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</row>
    <row r="3" ht="22.5" customHeight="1">
      <c r="A3" s="60" t="s">
        <v>481</v>
      </c>
      <c r="B3" s="61" t="s">
        <v>270</v>
      </c>
      <c r="C3" s="62"/>
      <c r="D3" s="62"/>
      <c r="E3" s="62"/>
      <c r="F3" s="62"/>
      <c r="G3" s="62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65" t="b">
        <v>0</v>
      </c>
      <c r="B4" s="66" t="s">
        <v>482</v>
      </c>
      <c r="C4" s="76" t="s">
        <v>130</v>
      </c>
      <c r="D4" s="76" t="s">
        <v>130</v>
      </c>
      <c r="E4" s="68" t="s">
        <v>5</v>
      </c>
      <c r="F4" s="69">
        <f t="shared" ref="F4:F6" si="1">IF(E4="Not Relevant","",IF(E4="Good","",IF(E4="Bad",2,1)))+G4</f>
        <v>4</v>
      </c>
      <c r="G4" s="69">
        <v>3.0</v>
      </c>
      <c r="H4" s="70" t="str">
        <f>IFERROR(__xludf.DUMMYFUNCTION("SPARKLINE(F4,{""charttype"",""bar"";""max"",5;""min"",1;""color1"",""#180c56""})"),"")</f>
        <v/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ht="18.75" customHeight="1">
      <c r="A5" s="65" t="b">
        <v>0</v>
      </c>
      <c r="B5" s="72" t="s">
        <v>483</v>
      </c>
      <c r="C5" s="76" t="s">
        <v>130</v>
      </c>
      <c r="D5" s="76" t="s">
        <v>130</v>
      </c>
      <c r="E5" s="73" t="s">
        <v>5</v>
      </c>
      <c r="F5" s="74">
        <f t="shared" si="1"/>
        <v>3</v>
      </c>
      <c r="G5" s="74">
        <v>2.0</v>
      </c>
      <c r="H5" s="70" t="str">
        <f>IFERROR(__xludf.DUMMYFUNCTION("SPARKLINE(F5,{""charttype"",""bar"";""max"",5;""min"",1;""color1"",""#180c56""})"),"")</f>
        <v/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18.75" customHeight="1">
      <c r="A6" s="65" t="b">
        <v>0</v>
      </c>
      <c r="B6" s="72" t="s">
        <v>484</v>
      </c>
      <c r="C6" s="76" t="s">
        <v>130</v>
      </c>
      <c r="D6" s="76" t="s">
        <v>130</v>
      </c>
      <c r="E6" s="73" t="s">
        <v>5</v>
      </c>
      <c r="F6" s="74">
        <f t="shared" si="1"/>
        <v>2</v>
      </c>
      <c r="G6" s="74">
        <v>1.0</v>
      </c>
      <c r="H6" s="70" t="str">
        <f>IFERROR(__xludf.DUMMYFUNCTION("SPARKLINE(F6,{""charttype"",""bar"";""max"",5;""min"",1;""color1"",""#180c56""})"),"")</f>
        <v/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ht="22.5" customHeight="1">
      <c r="A7" s="60" t="s">
        <v>1</v>
      </c>
      <c r="B7" s="61" t="s">
        <v>310</v>
      </c>
      <c r="C7" s="95"/>
      <c r="D7" s="95"/>
      <c r="E7" s="62"/>
      <c r="F7" s="62"/>
      <c r="G7" s="62"/>
      <c r="H7" s="63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ht="18.75" customHeight="1">
      <c r="A8" s="65" t="b">
        <v>0</v>
      </c>
      <c r="B8" s="72" t="s">
        <v>485</v>
      </c>
      <c r="C8" s="76" t="s">
        <v>130</v>
      </c>
      <c r="D8" s="76" t="s">
        <v>130</v>
      </c>
      <c r="E8" s="73" t="s">
        <v>5</v>
      </c>
      <c r="F8" s="74">
        <f t="shared" ref="F8:F12" si="2">IF(E8="Not Relevant","",IF(E8="Good","",IF(E8="Bad",2,1)))+G8</f>
        <v>4</v>
      </c>
      <c r="G8" s="74">
        <v>3.0</v>
      </c>
      <c r="H8" s="75" t="str">
        <f>IFERROR(__xludf.DUMMYFUNCTION("SPARKLINE(F8,{""charttype"",""bar"";""max"",5;""min"",1;""color1"",""#180c56""})"),"")</f>
        <v/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8.75" customHeight="1">
      <c r="A9" s="65" t="b">
        <v>0</v>
      </c>
      <c r="B9" s="72" t="s">
        <v>486</v>
      </c>
      <c r="C9" s="76" t="s">
        <v>130</v>
      </c>
      <c r="D9" s="76" t="s">
        <v>130</v>
      </c>
      <c r="E9" s="73" t="s">
        <v>5</v>
      </c>
      <c r="F9" s="74">
        <f t="shared" si="2"/>
        <v>3</v>
      </c>
      <c r="G9" s="74">
        <v>2.0</v>
      </c>
      <c r="H9" s="75" t="str">
        <f>IFERROR(__xludf.DUMMYFUNCTION("SPARKLINE(F9,{""charttype"",""bar"";""max"",5;""min"",1;""color1"",""#180c56""})"),"")</f>
        <v/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.75" customHeight="1">
      <c r="A10" s="65" t="b">
        <v>0</v>
      </c>
      <c r="B10" s="72" t="s">
        <v>487</v>
      </c>
      <c r="C10" s="76" t="s">
        <v>130</v>
      </c>
      <c r="D10" s="76" t="s">
        <v>130</v>
      </c>
      <c r="E10" s="73" t="s">
        <v>5</v>
      </c>
      <c r="F10" s="74">
        <f t="shared" si="2"/>
        <v>4</v>
      </c>
      <c r="G10" s="74">
        <v>3.0</v>
      </c>
      <c r="H10" s="75" t="str">
        <f>IFERROR(__xludf.DUMMYFUNCTION("SPARKLINE(F10,{""charttype"",""bar"";""max"",5;""min"",1;""color1"",""#180c56""})"),"")</f>
        <v/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8.75" customHeight="1">
      <c r="A11" s="65" t="b">
        <v>0</v>
      </c>
      <c r="B11" s="72" t="s">
        <v>488</v>
      </c>
      <c r="C11" s="76" t="s">
        <v>130</v>
      </c>
      <c r="D11" s="76" t="s">
        <v>130</v>
      </c>
      <c r="E11" s="73" t="s">
        <v>5</v>
      </c>
      <c r="F11" s="74">
        <f t="shared" si="2"/>
        <v>3</v>
      </c>
      <c r="G11" s="74">
        <v>2.0</v>
      </c>
      <c r="H11" s="75" t="str">
        <f>IFERROR(__xludf.DUMMYFUNCTION("SPARKLINE(F11,{""charttype"",""bar"";""max"",5;""min"",1;""color1"",""#180c56""})"),"")</f>
        <v/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8.75" customHeight="1">
      <c r="A12" s="77" t="b">
        <v>0</v>
      </c>
      <c r="B12" s="78" t="s">
        <v>489</v>
      </c>
      <c r="C12" s="79" t="s">
        <v>130</v>
      </c>
      <c r="D12" s="79" t="s">
        <v>130</v>
      </c>
      <c r="E12" s="80" t="s">
        <v>5</v>
      </c>
      <c r="F12" s="81">
        <f t="shared" si="2"/>
        <v>3</v>
      </c>
      <c r="G12" s="81">
        <v>2.0</v>
      </c>
      <c r="H12" s="82" t="str">
        <f>IFERROR(__xludf.DUMMYFUNCTION("SPARKLINE(F12,{""charttype"",""bar"";""max"",5;""min"",1;""color1"",""#180c56""})"),"")</f>
        <v/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8.75" customHeight="1">
      <c r="A13" s="37"/>
      <c r="B13" s="83"/>
      <c r="C13" s="37"/>
      <c r="D13" s="37"/>
      <c r="E13" s="37"/>
      <c r="F13" s="37"/>
      <c r="G13" s="37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8.75" customHeight="1">
      <c r="A14" s="37"/>
      <c r="B14" s="83"/>
      <c r="C14" s="37"/>
      <c r="D14" s="37"/>
      <c r="E14" s="37"/>
      <c r="F14" s="37"/>
      <c r="G14" s="37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8.75" customHeight="1">
      <c r="A15" s="37"/>
      <c r="B15" s="83"/>
      <c r="C15" s="37"/>
      <c r="D15" s="37"/>
      <c r="E15" s="37"/>
      <c r="F15" s="37"/>
      <c r="G15" s="37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18.75" customHeight="1">
      <c r="A16" s="37"/>
      <c r="B16" s="83"/>
      <c r="C16" s="37"/>
      <c r="D16" s="37"/>
      <c r="E16" s="37"/>
      <c r="F16" s="37"/>
      <c r="G16" s="37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8.75" customHeight="1">
      <c r="A17" s="37"/>
      <c r="B17" s="83"/>
      <c r="C17" s="37"/>
      <c r="D17" s="37"/>
      <c r="E17" s="37"/>
      <c r="F17" s="37"/>
      <c r="G17" s="37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8.75" customHeight="1">
      <c r="A18" s="37"/>
      <c r="B18" s="83"/>
      <c r="C18" s="37"/>
      <c r="D18" s="37"/>
      <c r="E18" s="37"/>
      <c r="F18" s="37"/>
      <c r="G18" s="37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8.75" customHeight="1">
      <c r="A19" s="37"/>
      <c r="B19" s="83"/>
      <c r="C19" s="37"/>
      <c r="D19" s="37"/>
      <c r="E19" s="37"/>
      <c r="F19" s="37"/>
      <c r="G19" s="37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8.75" customHeight="1">
      <c r="A20" s="37"/>
      <c r="B20" s="83"/>
      <c r="C20" s="37"/>
      <c r="D20" s="37"/>
      <c r="E20" s="37"/>
      <c r="F20" s="37"/>
      <c r="G20" s="37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8.75" customHeight="1">
      <c r="A21" s="37"/>
      <c r="B21" s="83"/>
      <c r="C21" s="37"/>
      <c r="D21" s="37"/>
      <c r="E21" s="37"/>
      <c r="F21" s="37"/>
      <c r="G21" s="3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8.75" customHeight="1">
      <c r="A22" s="37"/>
      <c r="B22" s="83"/>
      <c r="C22" s="37"/>
      <c r="D22" s="37"/>
      <c r="E22" s="37"/>
      <c r="F22" s="37"/>
      <c r="G22" s="37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8.75" customHeight="1">
      <c r="A23" s="37"/>
      <c r="B23" s="83"/>
      <c r="C23" s="37"/>
      <c r="D23" s="37"/>
      <c r="E23" s="37"/>
      <c r="F23" s="37"/>
      <c r="G23" s="37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8.75" customHeight="1">
      <c r="A24" s="37"/>
      <c r="B24" s="83"/>
      <c r="C24" s="37"/>
      <c r="D24" s="37"/>
      <c r="E24" s="37"/>
      <c r="F24" s="37"/>
      <c r="G24" s="37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8.75" customHeight="1">
      <c r="A25" s="37"/>
      <c r="B25" s="83"/>
      <c r="C25" s="37"/>
      <c r="D25" s="37"/>
      <c r="E25" s="37"/>
      <c r="F25" s="37"/>
      <c r="G25" s="3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8.75" customHeight="1">
      <c r="A26" s="37"/>
      <c r="B26" s="83"/>
      <c r="C26" s="37"/>
      <c r="D26" s="37"/>
      <c r="E26" s="37"/>
      <c r="F26" s="37"/>
      <c r="G26" s="37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8.75" customHeight="1">
      <c r="A27" s="37"/>
      <c r="B27" s="83"/>
      <c r="C27" s="37"/>
      <c r="D27" s="37"/>
      <c r="E27" s="37"/>
      <c r="F27" s="37"/>
      <c r="G27" s="37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8.75" customHeight="1">
      <c r="A28" s="37"/>
      <c r="B28" s="83"/>
      <c r="C28" s="37"/>
      <c r="D28" s="37"/>
      <c r="E28" s="37"/>
      <c r="F28" s="37"/>
      <c r="G28" s="37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8.75" customHeight="1">
      <c r="A29" s="37"/>
      <c r="B29" s="83"/>
      <c r="C29" s="37"/>
      <c r="D29" s="37"/>
      <c r="E29" s="37"/>
      <c r="F29" s="37"/>
      <c r="G29" s="37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8.75" customHeight="1">
      <c r="A30" s="37"/>
      <c r="B30" s="83"/>
      <c r="C30" s="37"/>
      <c r="D30" s="37"/>
      <c r="E30" s="37"/>
      <c r="F30" s="37"/>
      <c r="G30" s="3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8.75" customHeight="1">
      <c r="A31" s="37"/>
      <c r="B31" s="83"/>
      <c r="C31" s="37"/>
      <c r="D31" s="37"/>
      <c r="E31" s="37"/>
      <c r="F31" s="37"/>
      <c r="G31" s="37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8.75" customHeight="1">
      <c r="A32" s="37"/>
      <c r="B32" s="83"/>
      <c r="C32" s="37"/>
      <c r="D32" s="37"/>
      <c r="E32" s="37"/>
      <c r="F32" s="37"/>
      <c r="G32" s="37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8.75" customHeight="1">
      <c r="A33" s="37"/>
      <c r="B33" s="83"/>
      <c r="C33" s="37"/>
      <c r="D33" s="37"/>
      <c r="E33" s="37"/>
      <c r="F33" s="37"/>
      <c r="G33" s="3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8.75" customHeight="1">
      <c r="A34" s="37"/>
      <c r="B34" s="83"/>
      <c r="C34" s="37"/>
      <c r="D34" s="37"/>
      <c r="E34" s="37"/>
      <c r="F34" s="37"/>
      <c r="G34" s="37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8.75" customHeight="1">
      <c r="A35" s="37"/>
      <c r="B35" s="83"/>
      <c r="C35" s="37"/>
      <c r="D35" s="37"/>
      <c r="E35" s="37"/>
      <c r="F35" s="37"/>
      <c r="G35" s="37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8.75" customHeight="1">
      <c r="A36" s="37"/>
      <c r="B36" s="83"/>
      <c r="C36" s="37"/>
      <c r="D36" s="37"/>
      <c r="E36" s="37"/>
      <c r="F36" s="37"/>
      <c r="G36" s="37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8.75" customHeight="1">
      <c r="A37" s="37"/>
      <c r="B37" s="83"/>
      <c r="C37" s="37"/>
      <c r="D37" s="37"/>
      <c r="E37" s="37"/>
      <c r="F37" s="37"/>
      <c r="G37" s="3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8.75" customHeight="1">
      <c r="A38" s="37"/>
      <c r="B38" s="83"/>
      <c r="C38" s="37"/>
      <c r="D38" s="37"/>
      <c r="E38" s="37"/>
      <c r="F38" s="37"/>
      <c r="G38" s="3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8.75" customHeight="1">
      <c r="A39" s="37"/>
      <c r="B39" s="83"/>
      <c r="C39" s="37"/>
      <c r="D39" s="37"/>
      <c r="E39" s="37"/>
      <c r="F39" s="37"/>
      <c r="G39" s="3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8.75" customHeight="1">
      <c r="A40" s="37"/>
      <c r="B40" s="83"/>
      <c r="C40" s="37"/>
      <c r="D40" s="37"/>
      <c r="E40" s="37"/>
      <c r="F40" s="37"/>
      <c r="G40" s="3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8.75" customHeight="1">
      <c r="A41" s="37"/>
      <c r="B41" s="83"/>
      <c r="C41" s="37"/>
      <c r="D41" s="37"/>
      <c r="E41" s="37"/>
      <c r="F41" s="37"/>
      <c r="G41" s="3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8.75" customHeight="1">
      <c r="A42" s="37"/>
      <c r="B42" s="83"/>
      <c r="C42" s="37"/>
      <c r="D42" s="37"/>
      <c r="E42" s="37"/>
      <c r="F42" s="37"/>
      <c r="G42" s="3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8.75" customHeight="1">
      <c r="A43" s="37"/>
      <c r="B43" s="83"/>
      <c r="C43" s="37"/>
      <c r="D43" s="37"/>
      <c r="E43" s="37"/>
      <c r="F43" s="37"/>
      <c r="G43" s="3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8.75" customHeight="1">
      <c r="A44" s="37"/>
      <c r="B44" s="83"/>
      <c r="C44" s="37"/>
      <c r="D44" s="37"/>
      <c r="E44" s="37"/>
      <c r="F44" s="37"/>
      <c r="G44" s="3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8.75" customHeight="1">
      <c r="A45" s="37"/>
      <c r="B45" s="83"/>
      <c r="C45" s="37"/>
      <c r="D45" s="37"/>
      <c r="E45" s="37"/>
      <c r="F45" s="37"/>
      <c r="G45" s="3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8.75" customHeight="1">
      <c r="A46" s="37"/>
      <c r="B46" s="83"/>
      <c r="C46" s="37"/>
      <c r="D46" s="37"/>
      <c r="E46" s="37"/>
      <c r="F46" s="37"/>
      <c r="G46" s="3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8.75" customHeight="1">
      <c r="A47" s="37"/>
      <c r="B47" s="83"/>
      <c r="C47" s="37"/>
      <c r="D47" s="37"/>
      <c r="E47" s="37"/>
      <c r="F47" s="37"/>
      <c r="G47" s="3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8.75" customHeight="1">
      <c r="A48" s="37"/>
      <c r="B48" s="83"/>
      <c r="C48" s="37"/>
      <c r="D48" s="37"/>
      <c r="E48" s="37"/>
      <c r="F48" s="37"/>
      <c r="G48" s="3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8.75" customHeight="1">
      <c r="A49" s="37"/>
      <c r="B49" s="83"/>
      <c r="C49" s="37"/>
      <c r="D49" s="37"/>
      <c r="E49" s="37"/>
      <c r="F49" s="37"/>
      <c r="G49" s="3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8.75" customHeight="1">
      <c r="A50" s="37"/>
      <c r="B50" s="83"/>
      <c r="C50" s="37"/>
      <c r="D50" s="37"/>
      <c r="E50" s="37"/>
      <c r="F50" s="37"/>
      <c r="G50" s="3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8.75" customHeight="1">
      <c r="A51" s="37"/>
      <c r="B51" s="83"/>
      <c r="C51" s="37"/>
      <c r="D51" s="37"/>
      <c r="E51" s="37"/>
      <c r="F51" s="37"/>
      <c r="G51" s="3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8.75" customHeight="1">
      <c r="A52" s="37"/>
      <c r="B52" s="83"/>
      <c r="C52" s="37"/>
      <c r="D52" s="37"/>
      <c r="E52" s="37"/>
      <c r="F52" s="37"/>
      <c r="G52" s="3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8.75" customHeight="1">
      <c r="A53" s="37"/>
      <c r="B53" s="83"/>
      <c r="C53" s="37"/>
      <c r="D53" s="37"/>
      <c r="E53" s="37"/>
      <c r="F53" s="37"/>
      <c r="G53" s="3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8.75" customHeight="1">
      <c r="A54" s="37"/>
      <c r="B54" s="83"/>
      <c r="C54" s="37"/>
      <c r="D54" s="37"/>
      <c r="E54" s="37"/>
      <c r="F54" s="37"/>
      <c r="G54" s="3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8.75" customHeight="1">
      <c r="A55" s="37"/>
      <c r="B55" s="83"/>
      <c r="C55" s="37"/>
      <c r="D55" s="37"/>
      <c r="E55" s="37"/>
      <c r="F55" s="37"/>
      <c r="G55" s="3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8.75" customHeight="1">
      <c r="A56" s="37"/>
      <c r="B56" s="83"/>
      <c r="C56" s="37"/>
      <c r="D56" s="37"/>
      <c r="E56" s="37"/>
      <c r="F56" s="37"/>
      <c r="G56" s="3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8.75" customHeight="1">
      <c r="A57" s="37"/>
      <c r="B57" s="83"/>
      <c r="C57" s="37"/>
      <c r="D57" s="37"/>
      <c r="E57" s="37"/>
      <c r="F57" s="37"/>
      <c r="G57" s="3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8.75" customHeight="1">
      <c r="A58" s="37"/>
      <c r="B58" s="83"/>
      <c r="C58" s="37"/>
      <c r="D58" s="37"/>
      <c r="E58" s="37"/>
      <c r="F58" s="37"/>
      <c r="G58" s="3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8.75" customHeight="1">
      <c r="A59" s="37"/>
      <c r="B59" s="83"/>
      <c r="C59" s="37"/>
      <c r="D59" s="37"/>
      <c r="E59" s="37"/>
      <c r="F59" s="37"/>
      <c r="G59" s="3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8.75" customHeight="1">
      <c r="A60" s="37"/>
      <c r="B60" s="83"/>
      <c r="C60" s="37"/>
      <c r="D60" s="37"/>
      <c r="E60" s="37"/>
      <c r="F60" s="37"/>
      <c r="G60" s="3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8.75" customHeight="1">
      <c r="A61" s="37"/>
      <c r="B61" s="83"/>
      <c r="C61" s="37"/>
      <c r="D61" s="37"/>
      <c r="E61" s="37"/>
      <c r="F61" s="37"/>
      <c r="G61" s="3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8.75" customHeight="1">
      <c r="A62" s="37"/>
      <c r="B62" s="83"/>
      <c r="C62" s="37"/>
      <c r="D62" s="37"/>
      <c r="E62" s="37"/>
      <c r="F62" s="37"/>
      <c r="G62" s="3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8.75" customHeight="1">
      <c r="A63" s="37"/>
      <c r="B63" s="83"/>
      <c r="C63" s="37"/>
      <c r="D63" s="37"/>
      <c r="E63" s="37"/>
      <c r="F63" s="37"/>
      <c r="G63" s="3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8.75" customHeight="1">
      <c r="A64" s="37"/>
      <c r="B64" s="83"/>
      <c r="C64" s="37"/>
      <c r="D64" s="37"/>
      <c r="E64" s="37"/>
      <c r="F64" s="37"/>
      <c r="G64" s="3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8.75" customHeight="1">
      <c r="A65" s="37"/>
      <c r="B65" s="83"/>
      <c r="C65" s="37"/>
      <c r="D65" s="37"/>
      <c r="E65" s="37"/>
      <c r="F65" s="37"/>
      <c r="G65" s="3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8.75" customHeight="1">
      <c r="A66" s="37"/>
      <c r="B66" s="83"/>
      <c r="C66" s="37"/>
      <c r="D66" s="37"/>
      <c r="E66" s="37"/>
      <c r="F66" s="37"/>
      <c r="G66" s="3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8.75" customHeight="1">
      <c r="A67" s="37"/>
      <c r="B67" s="83"/>
      <c r="C67" s="37"/>
      <c r="D67" s="37"/>
      <c r="E67" s="37"/>
      <c r="F67" s="37"/>
      <c r="G67" s="3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8.75" customHeight="1">
      <c r="A68" s="37"/>
      <c r="B68" s="83"/>
      <c r="C68" s="37"/>
      <c r="D68" s="37"/>
      <c r="E68" s="37"/>
      <c r="F68" s="37"/>
      <c r="G68" s="3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8.75" customHeight="1">
      <c r="A69" s="37"/>
      <c r="B69" s="83"/>
      <c r="C69" s="37"/>
      <c r="D69" s="37"/>
      <c r="E69" s="37"/>
      <c r="F69" s="37"/>
      <c r="G69" s="3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8.75" customHeight="1">
      <c r="A70" s="37"/>
      <c r="B70" s="83"/>
      <c r="C70" s="37"/>
      <c r="D70" s="37"/>
      <c r="E70" s="37"/>
      <c r="F70" s="37"/>
      <c r="G70" s="3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8.75" customHeight="1">
      <c r="A71" s="37"/>
      <c r="B71" s="83"/>
      <c r="C71" s="37"/>
      <c r="D71" s="37"/>
      <c r="E71" s="37"/>
      <c r="F71" s="37"/>
      <c r="G71" s="3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8.75" customHeight="1">
      <c r="A72" s="37"/>
      <c r="B72" s="83"/>
      <c r="C72" s="37"/>
      <c r="D72" s="37"/>
      <c r="E72" s="37"/>
      <c r="F72" s="37"/>
      <c r="G72" s="3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8.75" customHeight="1">
      <c r="A73" s="37"/>
      <c r="B73" s="83"/>
      <c r="C73" s="37"/>
      <c r="D73" s="37"/>
      <c r="E73" s="37"/>
      <c r="F73" s="37"/>
      <c r="G73" s="3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8.75" customHeight="1">
      <c r="A74" s="37"/>
      <c r="B74" s="83"/>
      <c r="C74" s="37"/>
      <c r="D74" s="37"/>
      <c r="E74" s="37"/>
      <c r="F74" s="37"/>
      <c r="G74" s="3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8.75" customHeight="1">
      <c r="A75" s="37"/>
      <c r="B75" s="83"/>
      <c r="C75" s="37"/>
      <c r="D75" s="37"/>
      <c r="E75" s="37"/>
      <c r="F75" s="37"/>
      <c r="G75" s="3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8.75" customHeight="1">
      <c r="A76" s="37"/>
      <c r="B76" s="83"/>
      <c r="C76" s="37"/>
      <c r="D76" s="37"/>
      <c r="E76" s="37"/>
      <c r="F76" s="37"/>
      <c r="G76" s="3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8.75" customHeight="1">
      <c r="A77" s="37"/>
      <c r="B77" s="83"/>
      <c r="C77" s="37"/>
      <c r="D77" s="37"/>
      <c r="E77" s="37"/>
      <c r="F77" s="37"/>
      <c r="G77" s="3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8.75" customHeight="1">
      <c r="A78" s="37"/>
      <c r="B78" s="83"/>
      <c r="C78" s="37"/>
      <c r="D78" s="37"/>
      <c r="E78" s="37"/>
      <c r="F78" s="37"/>
      <c r="G78" s="3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8.75" customHeight="1">
      <c r="A79" s="37"/>
      <c r="B79" s="83"/>
      <c r="C79" s="37"/>
      <c r="D79" s="37"/>
      <c r="E79" s="37"/>
      <c r="F79" s="37"/>
      <c r="G79" s="3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8.75" customHeight="1">
      <c r="A80" s="37"/>
      <c r="B80" s="83"/>
      <c r="C80" s="37"/>
      <c r="D80" s="37"/>
      <c r="E80" s="37"/>
      <c r="F80" s="37"/>
      <c r="G80" s="3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8.75" customHeight="1">
      <c r="A81" s="37"/>
      <c r="B81" s="83"/>
      <c r="C81" s="37"/>
      <c r="D81" s="37"/>
      <c r="E81" s="37"/>
      <c r="F81" s="37"/>
      <c r="G81" s="3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8.75" customHeight="1">
      <c r="A82" s="37"/>
      <c r="B82" s="83"/>
      <c r="C82" s="37"/>
      <c r="D82" s="37"/>
      <c r="E82" s="37"/>
      <c r="F82" s="37"/>
      <c r="G82" s="3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8.75" customHeight="1">
      <c r="A83" s="37"/>
      <c r="B83" s="83"/>
      <c r="C83" s="37"/>
      <c r="D83" s="37"/>
      <c r="E83" s="37"/>
      <c r="F83" s="37"/>
      <c r="G83" s="3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8.75" customHeight="1">
      <c r="A84" s="37"/>
      <c r="B84" s="83"/>
      <c r="C84" s="37"/>
      <c r="D84" s="37"/>
      <c r="E84" s="37"/>
      <c r="F84" s="37"/>
      <c r="G84" s="3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8.75" customHeight="1">
      <c r="A85" s="37"/>
      <c r="B85" s="83"/>
      <c r="C85" s="37"/>
      <c r="D85" s="37"/>
      <c r="E85" s="37"/>
      <c r="F85" s="37"/>
      <c r="G85" s="3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8.75" customHeight="1">
      <c r="A86" s="37"/>
      <c r="B86" s="83"/>
      <c r="C86" s="37"/>
      <c r="D86" s="37"/>
      <c r="E86" s="37"/>
      <c r="F86" s="37"/>
      <c r="G86" s="3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8.75" customHeight="1">
      <c r="A87" s="37"/>
      <c r="B87" s="83"/>
      <c r="C87" s="37"/>
      <c r="D87" s="37"/>
      <c r="E87" s="37"/>
      <c r="F87" s="37"/>
      <c r="G87" s="3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8.75" customHeight="1">
      <c r="A88" s="37"/>
      <c r="B88" s="83"/>
      <c r="C88" s="37"/>
      <c r="D88" s="37"/>
      <c r="E88" s="37"/>
      <c r="F88" s="37"/>
      <c r="G88" s="3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8.75" customHeight="1">
      <c r="A89" s="37"/>
      <c r="B89" s="83"/>
      <c r="C89" s="37"/>
      <c r="D89" s="37"/>
      <c r="E89" s="37"/>
      <c r="F89" s="37"/>
      <c r="G89" s="3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8.75" customHeight="1">
      <c r="A90" s="37"/>
      <c r="B90" s="83"/>
      <c r="C90" s="37"/>
      <c r="D90" s="37"/>
      <c r="E90" s="37"/>
      <c r="F90" s="37"/>
      <c r="G90" s="3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8.75" customHeight="1">
      <c r="A91" s="37"/>
      <c r="B91" s="83"/>
      <c r="C91" s="37"/>
      <c r="D91" s="37"/>
      <c r="E91" s="37"/>
      <c r="F91" s="37"/>
      <c r="G91" s="3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8.75" customHeight="1">
      <c r="A92" s="37"/>
      <c r="B92" s="83"/>
      <c r="C92" s="37"/>
      <c r="D92" s="37"/>
      <c r="E92" s="37"/>
      <c r="F92" s="37"/>
      <c r="G92" s="3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8.75" customHeight="1">
      <c r="A93" s="37"/>
      <c r="B93" s="83"/>
      <c r="C93" s="37"/>
      <c r="D93" s="37"/>
      <c r="E93" s="37"/>
      <c r="F93" s="37"/>
      <c r="G93" s="3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8.75" customHeight="1">
      <c r="A94" s="37"/>
      <c r="B94" s="83"/>
      <c r="C94" s="37"/>
      <c r="D94" s="37"/>
      <c r="E94" s="37"/>
      <c r="F94" s="37"/>
      <c r="G94" s="3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8.75" customHeight="1">
      <c r="A95" s="37"/>
      <c r="B95" s="83"/>
      <c r="C95" s="37"/>
      <c r="D95" s="37"/>
      <c r="E95" s="37"/>
      <c r="F95" s="37"/>
      <c r="G95" s="3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8.75" customHeight="1">
      <c r="A96" s="37"/>
      <c r="B96" s="83"/>
      <c r="C96" s="37"/>
      <c r="D96" s="37"/>
      <c r="E96" s="37"/>
      <c r="F96" s="37"/>
      <c r="G96" s="3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8.75" customHeight="1">
      <c r="A97" s="37"/>
      <c r="B97" s="83"/>
      <c r="C97" s="37"/>
      <c r="D97" s="37"/>
      <c r="E97" s="37"/>
      <c r="F97" s="37"/>
      <c r="G97" s="3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8.75" customHeight="1">
      <c r="A98" s="37"/>
      <c r="B98" s="83"/>
      <c r="C98" s="37"/>
      <c r="D98" s="37"/>
      <c r="E98" s="37"/>
      <c r="F98" s="37"/>
      <c r="G98" s="3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8.75" customHeight="1">
      <c r="A99" s="37"/>
      <c r="B99" s="83"/>
      <c r="C99" s="37"/>
      <c r="D99" s="37"/>
      <c r="E99" s="37"/>
      <c r="F99" s="37"/>
      <c r="G99" s="3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8.75" customHeight="1">
      <c r="A100" s="37"/>
      <c r="B100" s="83"/>
      <c r="C100" s="37"/>
      <c r="D100" s="37"/>
      <c r="E100" s="37"/>
      <c r="F100" s="37"/>
      <c r="G100" s="3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8.75" customHeight="1">
      <c r="A101" s="37"/>
      <c r="B101" s="83"/>
      <c r="C101" s="37"/>
      <c r="D101" s="37"/>
      <c r="E101" s="37"/>
      <c r="F101" s="37"/>
      <c r="G101" s="3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8.75" customHeight="1">
      <c r="A102" s="37"/>
      <c r="B102" s="83"/>
      <c r="C102" s="37"/>
      <c r="D102" s="37"/>
      <c r="E102" s="37"/>
      <c r="F102" s="37"/>
      <c r="G102" s="3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8.75" customHeight="1">
      <c r="A103" s="37"/>
      <c r="B103" s="83"/>
      <c r="C103" s="37"/>
      <c r="D103" s="37"/>
      <c r="E103" s="37"/>
      <c r="F103" s="37"/>
      <c r="G103" s="3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8.75" customHeight="1">
      <c r="A104" s="37"/>
      <c r="B104" s="83"/>
      <c r="C104" s="37"/>
      <c r="D104" s="37"/>
      <c r="E104" s="37"/>
      <c r="F104" s="37"/>
      <c r="G104" s="3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8.75" customHeight="1">
      <c r="A105" s="37"/>
      <c r="B105" s="83"/>
      <c r="C105" s="37"/>
      <c r="D105" s="37"/>
      <c r="E105" s="37"/>
      <c r="F105" s="37"/>
      <c r="G105" s="3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8.75" customHeight="1">
      <c r="A106" s="37"/>
      <c r="B106" s="83"/>
      <c r="C106" s="37"/>
      <c r="D106" s="37"/>
      <c r="E106" s="37"/>
      <c r="F106" s="37"/>
      <c r="G106" s="3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8.75" customHeight="1">
      <c r="A107" s="37"/>
      <c r="B107" s="83"/>
      <c r="C107" s="37"/>
      <c r="D107" s="37"/>
      <c r="E107" s="37"/>
      <c r="F107" s="37"/>
      <c r="G107" s="3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8.75" customHeight="1">
      <c r="A108" s="37"/>
      <c r="B108" s="83"/>
      <c r="C108" s="37"/>
      <c r="D108" s="37"/>
      <c r="E108" s="37"/>
      <c r="F108" s="37"/>
      <c r="G108" s="3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8.75" customHeight="1">
      <c r="A109" s="37"/>
      <c r="B109" s="83"/>
      <c r="C109" s="37"/>
      <c r="D109" s="37"/>
      <c r="E109" s="37"/>
      <c r="F109" s="37"/>
      <c r="G109" s="3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8.75" customHeight="1">
      <c r="A110" s="37"/>
      <c r="B110" s="83"/>
      <c r="C110" s="37"/>
      <c r="D110" s="37"/>
      <c r="E110" s="37"/>
      <c r="F110" s="37"/>
      <c r="G110" s="3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8.75" customHeight="1">
      <c r="A111" s="37"/>
      <c r="B111" s="83"/>
      <c r="C111" s="37"/>
      <c r="D111" s="37"/>
      <c r="E111" s="37"/>
      <c r="F111" s="37"/>
      <c r="G111" s="3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8.75" customHeight="1">
      <c r="A112" s="37"/>
      <c r="B112" s="83"/>
      <c r="C112" s="37"/>
      <c r="D112" s="37"/>
      <c r="E112" s="37"/>
      <c r="F112" s="37"/>
      <c r="G112" s="3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8.75" customHeight="1">
      <c r="A113" s="37"/>
      <c r="B113" s="83"/>
      <c r="C113" s="37"/>
      <c r="D113" s="37"/>
      <c r="E113" s="37"/>
      <c r="F113" s="37"/>
      <c r="G113" s="3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8.75" customHeight="1">
      <c r="A114" s="37"/>
      <c r="B114" s="83"/>
      <c r="C114" s="37"/>
      <c r="D114" s="37"/>
      <c r="E114" s="37"/>
      <c r="F114" s="37"/>
      <c r="G114" s="3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8.75" customHeight="1">
      <c r="A115" s="37"/>
      <c r="B115" s="83"/>
      <c r="C115" s="37"/>
      <c r="D115" s="37"/>
      <c r="E115" s="37"/>
      <c r="F115" s="37"/>
      <c r="G115" s="3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8.75" customHeight="1">
      <c r="A116" s="37"/>
      <c r="B116" s="83"/>
      <c r="C116" s="37"/>
      <c r="D116" s="37"/>
      <c r="E116" s="37"/>
      <c r="F116" s="37"/>
      <c r="G116" s="3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8.75" customHeight="1">
      <c r="A117" s="37"/>
      <c r="B117" s="83"/>
      <c r="C117" s="37"/>
      <c r="D117" s="37"/>
      <c r="E117" s="37"/>
      <c r="F117" s="37"/>
      <c r="G117" s="3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8.75" customHeight="1">
      <c r="A118" s="37"/>
      <c r="B118" s="83"/>
      <c r="C118" s="37"/>
      <c r="D118" s="37"/>
      <c r="E118" s="37"/>
      <c r="F118" s="37"/>
      <c r="G118" s="3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8.75" customHeight="1">
      <c r="A119" s="37"/>
      <c r="B119" s="83"/>
      <c r="C119" s="37"/>
      <c r="D119" s="37"/>
      <c r="E119" s="37"/>
      <c r="F119" s="37"/>
      <c r="G119" s="3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8.75" customHeight="1">
      <c r="A120" s="37"/>
      <c r="B120" s="83"/>
      <c r="C120" s="37"/>
      <c r="D120" s="37"/>
      <c r="E120" s="37"/>
      <c r="F120" s="37"/>
      <c r="G120" s="3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8.75" customHeight="1">
      <c r="A121" s="37"/>
      <c r="B121" s="83"/>
      <c r="C121" s="37"/>
      <c r="D121" s="37"/>
      <c r="E121" s="37"/>
      <c r="F121" s="37"/>
      <c r="G121" s="3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8.75" customHeight="1">
      <c r="A122" s="37"/>
      <c r="B122" s="83"/>
      <c r="C122" s="37"/>
      <c r="D122" s="37"/>
      <c r="E122" s="37"/>
      <c r="F122" s="37"/>
      <c r="G122" s="3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8.75" customHeight="1">
      <c r="A123" s="37"/>
      <c r="B123" s="83"/>
      <c r="C123" s="37"/>
      <c r="D123" s="37"/>
      <c r="E123" s="37"/>
      <c r="F123" s="37"/>
      <c r="G123" s="3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8.75" customHeight="1">
      <c r="A124" s="37"/>
      <c r="B124" s="83"/>
      <c r="C124" s="37"/>
      <c r="D124" s="37"/>
      <c r="E124" s="37"/>
      <c r="F124" s="37"/>
      <c r="G124" s="3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8.75" customHeight="1">
      <c r="A125" s="37"/>
      <c r="B125" s="83"/>
      <c r="C125" s="37"/>
      <c r="D125" s="37"/>
      <c r="E125" s="37"/>
      <c r="F125" s="37"/>
      <c r="G125" s="3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8.75" customHeight="1">
      <c r="A126" s="37"/>
      <c r="B126" s="83"/>
      <c r="C126" s="37"/>
      <c r="D126" s="37"/>
      <c r="E126" s="37"/>
      <c r="F126" s="37"/>
      <c r="G126" s="3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8.75" customHeight="1">
      <c r="A127" s="37"/>
      <c r="B127" s="83"/>
      <c r="C127" s="37"/>
      <c r="D127" s="37"/>
      <c r="E127" s="37"/>
      <c r="F127" s="37"/>
      <c r="G127" s="3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8.75" customHeight="1">
      <c r="A128" s="37"/>
      <c r="B128" s="83"/>
      <c r="C128" s="37"/>
      <c r="D128" s="37"/>
      <c r="E128" s="37"/>
      <c r="F128" s="37"/>
      <c r="G128" s="3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8.75" customHeight="1">
      <c r="A129" s="37"/>
      <c r="B129" s="83"/>
      <c r="C129" s="37"/>
      <c r="D129" s="37"/>
      <c r="E129" s="37"/>
      <c r="F129" s="37"/>
      <c r="G129" s="3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8.75" customHeight="1">
      <c r="A130" s="37"/>
      <c r="B130" s="83"/>
      <c r="C130" s="37"/>
      <c r="D130" s="37"/>
      <c r="E130" s="37"/>
      <c r="F130" s="37"/>
      <c r="G130" s="3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8.75" customHeight="1">
      <c r="A131" s="37"/>
      <c r="B131" s="83"/>
      <c r="C131" s="37"/>
      <c r="D131" s="37"/>
      <c r="E131" s="37"/>
      <c r="F131" s="37"/>
      <c r="G131" s="3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8.75" customHeight="1">
      <c r="A132" s="37"/>
      <c r="B132" s="83"/>
      <c r="C132" s="37"/>
      <c r="D132" s="37"/>
      <c r="E132" s="37"/>
      <c r="F132" s="37"/>
      <c r="G132" s="3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8.75" customHeight="1">
      <c r="A133" s="37"/>
      <c r="B133" s="83"/>
      <c r="C133" s="37"/>
      <c r="D133" s="37"/>
      <c r="E133" s="37"/>
      <c r="F133" s="37"/>
      <c r="G133" s="3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8.75" customHeight="1">
      <c r="A134" s="37"/>
      <c r="B134" s="83"/>
      <c r="C134" s="37"/>
      <c r="D134" s="37"/>
      <c r="E134" s="37"/>
      <c r="F134" s="37"/>
      <c r="G134" s="3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8.75" customHeight="1">
      <c r="A135" s="37"/>
      <c r="B135" s="83"/>
      <c r="C135" s="37"/>
      <c r="D135" s="37"/>
      <c r="E135" s="37"/>
      <c r="F135" s="37"/>
      <c r="G135" s="3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8.75" customHeight="1">
      <c r="A136" s="37"/>
      <c r="B136" s="83"/>
      <c r="C136" s="37"/>
      <c r="D136" s="37"/>
      <c r="E136" s="37"/>
      <c r="F136" s="37"/>
      <c r="G136" s="3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8.75" customHeight="1">
      <c r="A137" s="37"/>
      <c r="B137" s="83"/>
      <c r="C137" s="37"/>
      <c r="D137" s="37"/>
      <c r="E137" s="37"/>
      <c r="F137" s="37"/>
      <c r="G137" s="3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8.75" customHeight="1">
      <c r="A138" s="37"/>
      <c r="B138" s="83"/>
      <c r="C138" s="37"/>
      <c r="D138" s="37"/>
      <c r="E138" s="37"/>
      <c r="F138" s="37"/>
      <c r="G138" s="3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8.75" customHeight="1">
      <c r="A139" s="37"/>
      <c r="B139" s="83"/>
      <c r="C139" s="37"/>
      <c r="D139" s="37"/>
      <c r="E139" s="37"/>
      <c r="F139" s="37"/>
      <c r="G139" s="3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8.75" customHeight="1">
      <c r="A140" s="37"/>
      <c r="B140" s="83"/>
      <c r="C140" s="37"/>
      <c r="D140" s="37"/>
      <c r="E140" s="37"/>
      <c r="F140" s="37"/>
      <c r="G140" s="3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8.75" customHeight="1">
      <c r="A141" s="37"/>
      <c r="B141" s="83"/>
      <c r="C141" s="37"/>
      <c r="D141" s="37"/>
      <c r="E141" s="37"/>
      <c r="F141" s="37"/>
      <c r="G141" s="3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8.75" customHeight="1">
      <c r="A142" s="37"/>
      <c r="B142" s="83"/>
      <c r="C142" s="37"/>
      <c r="D142" s="37"/>
      <c r="E142" s="37"/>
      <c r="F142" s="37"/>
      <c r="G142" s="3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8.75" customHeight="1">
      <c r="A143" s="37"/>
      <c r="B143" s="83"/>
      <c r="C143" s="37"/>
      <c r="D143" s="37"/>
      <c r="E143" s="37"/>
      <c r="F143" s="37"/>
      <c r="G143" s="3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8.75" customHeight="1">
      <c r="A144" s="37"/>
      <c r="B144" s="83"/>
      <c r="C144" s="37"/>
      <c r="D144" s="37"/>
      <c r="E144" s="37"/>
      <c r="F144" s="37"/>
      <c r="G144" s="3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8.75" customHeight="1">
      <c r="A145" s="37"/>
      <c r="B145" s="83"/>
      <c r="C145" s="37"/>
      <c r="D145" s="37"/>
      <c r="E145" s="37"/>
      <c r="F145" s="37"/>
      <c r="G145" s="3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8.75" customHeight="1">
      <c r="A146" s="37"/>
      <c r="B146" s="83"/>
      <c r="C146" s="37"/>
      <c r="D146" s="37"/>
      <c r="E146" s="37"/>
      <c r="F146" s="37"/>
      <c r="G146" s="3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8.75" customHeight="1">
      <c r="A147" s="37"/>
      <c r="B147" s="83"/>
      <c r="C147" s="37"/>
      <c r="D147" s="37"/>
      <c r="E147" s="37"/>
      <c r="F147" s="37"/>
      <c r="G147" s="3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8.75" customHeight="1">
      <c r="A148" s="37"/>
      <c r="B148" s="83"/>
      <c r="C148" s="37"/>
      <c r="D148" s="37"/>
      <c r="E148" s="37"/>
      <c r="F148" s="37"/>
      <c r="G148" s="3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8.75" customHeight="1">
      <c r="A149" s="37"/>
      <c r="B149" s="83"/>
      <c r="C149" s="37"/>
      <c r="D149" s="37"/>
      <c r="E149" s="37"/>
      <c r="F149" s="37"/>
      <c r="G149" s="3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8.75" customHeight="1">
      <c r="A150" s="37"/>
      <c r="B150" s="83"/>
      <c r="C150" s="37"/>
      <c r="D150" s="37"/>
      <c r="E150" s="37"/>
      <c r="F150" s="37"/>
      <c r="G150" s="3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8.75" customHeight="1">
      <c r="A151" s="37"/>
      <c r="B151" s="83"/>
      <c r="C151" s="37"/>
      <c r="D151" s="37"/>
      <c r="E151" s="37"/>
      <c r="F151" s="37"/>
      <c r="G151" s="3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8.75" customHeight="1">
      <c r="A152" s="37"/>
      <c r="B152" s="83"/>
      <c r="C152" s="37"/>
      <c r="D152" s="37"/>
      <c r="E152" s="37"/>
      <c r="F152" s="37"/>
      <c r="G152" s="3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8.75" customHeight="1">
      <c r="A153" s="37"/>
      <c r="B153" s="83"/>
      <c r="C153" s="37"/>
      <c r="D153" s="37"/>
      <c r="E153" s="37"/>
      <c r="F153" s="37"/>
      <c r="G153" s="3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8.75" customHeight="1">
      <c r="A154" s="37"/>
      <c r="B154" s="83"/>
      <c r="C154" s="37"/>
      <c r="D154" s="37"/>
      <c r="E154" s="37"/>
      <c r="F154" s="37"/>
      <c r="G154" s="3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8.75" customHeight="1">
      <c r="A155" s="37"/>
      <c r="B155" s="83"/>
      <c r="C155" s="37"/>
      <c r="D155" s="37"/>
      <c r="E155" s="37"/>
      <c r="F155" s="37"/>
      <c r="G155" s="3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8.75" customHeight="1">
      <c r="A156" s="37"/>
      <c r="B156" s="83"/>
      <c r="C156" s="37"/>
      <c r="D156" s="37"/>
      <c r="E156" s="37"/>
      <c r="F156" s="37"/>
      <c r="G156" s="3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8.75" customHeight="1">
      <c r="A157" s="37"/>
      <c r="B157" s="83"/>
      <c r="C157" s="37"/>
      <c r="D157" s="37"/>
      <c r="E157" s="37"/>
      <c r="F157" s="37"/>
      <c r="G157" s="3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8.75" customHeight="1">
      <c r="A158" s="37"/>
      <c r="B158" s="83"/>
      <c r="C158" s="37"/>
      <c r="D158" s="37"/>
      <c r="E158" s="37"/>
      <c r="F158" s="37"/>
      <c r="G158" s="3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8.75" customHeight="1">
      <c r="A159" s="37"/>
      <c r="B159" s="83"/>
      <c r="C159" s="37"/>
      <c r="D159" s="37"/>
      <c r="E159" s="37"/>
      <c r="F159" s="37"/>
      <c r="G159" s="3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8.75" customHeight="1">
      <c r="A160" s="37"/>
      <c r="B160" s="83"/>
      <c r="C160" s="37"/>
      <c r="D160" s="37"/>
      <c r="E160" s="37"/>
      <c r="F160" s="37"/>
      <c r="G160" s="3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8.75" customHeight="1">
      <c r="A161" s="37"/>
      <c r="B161" s="83"/>
      <c r="C161" s="37"/>
      <c r="D161" s="37"/>
      <c r="E161" s="37"/>
      <c r="F161" s="37"/>
      <c r="G161" s="3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8.75" customHeight="1">
      <c r="A162" s="37"/>
      <c r="B162" s="83"/>
      <c r="C162" s="37"/>
      <c r="D162" s="37"/>
      <c r="E162" s="37"/>
      <c r="F162" s="37"/>
      <c r="G162" s="3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8.75" customHeight="1">
      <c r="A163" s="37"/>
      <c r="B163" s="83"/>
      <c r="C163" s="37"/>
      <c r="D163" s="37"/>
      <c r="E163" s="37"/>
      <c r="F163" s="37"/>
      <c r="G163" s="3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8.75" customHeight="1">
      <c r="A164" s="37"/>
      <c r="B164" s="83"/>
      <c r="C164" s="37"/>
      <c r="D164" s="37"/>
      <c r="E164" s="37"/>
      <c r="F164" s="37"/>
      <c r="G164" s="3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8.75" customHeight="1">
      <c r="A165" s="37"/>
      <c r="B165" s="83"/>
      <c r="C165" s="37"/>
      <c r="D165" s="37"/>
      <c r="E165" s="37"/>
      <c r="F165" s="37"/>
      <c r="G165" s="3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8.75" customHeight="1">
      <c r="A166" s="37"/>
      <c r="B166" s="83"/>
      <c r="C166" s="37"/>
      <c r="D166" s="37"/>
      <c r="E166" s="37"/>
      <c r="F166" s="37"/>
      <c r="G166" s="3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8.75" customHeight="1">
      <c r="A167" s="37"/>
      <c r="B167" s="83"/>
      <c r="C167" s="37"/>
      <c r="D167" s="37"/>
      <c r="E167" s="37"/>
      <c r="F167" s="37"/>
      <c r="G167" s="3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8.75" customHeight="1">
      <c r="A168" s="37"/>
      <c r="B168" s="83"/>
      <c r="C168" s="37"/>
      <c r="D168" s="37"/>
      <c r="E168" s="37"/>
      <c r="F168" s="37"/>
      <c r="G168" s="3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8.75" customHeight="1">
      <c r="A169" s="37"/>
      <c r="B169" s="83"/>
      <c r="C169" s="37"/>
      <c r="D169" s="37"/>
      <c r="E169" s="37"/>
      <c r="F169" s="37"/>
      <c r="G169" s="3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8.75" customHeight="1">
      <c r="A170" s="37"/>
      <c r="B170" s="83"/>
      <c r="C170" s="37"/>
      <c r="D170" s="37"/>
      <c r="E170" s="37"/>
      <c r="F170" s="37"/>
      <c r="G170" s="3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8.75" customHeight="1">
      <c r="A171" s="37"/>
      <c r="B171" s="83"/>
      <c r="C171" s="37"/>
      <c r="D171" s="37"/>
      <c r="E171" s="37"/>
      <c r="F171" s="37"/>
      <c r="G171" s="3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8.75" customHeight="1">
      <c r="A172" s="37"/>
      <c r="B172" s="83"/>
      <c r="C172" s="37"/>
      <c r="D172" s="37"/>
      <c r="E172" s="37"/>
      <c r="F172" s="37"/>
      <c r="G172" s="3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8.75" customHeight="1">
      <c r="A173" s="37"/>
      <c r="B173" s="83"/>
      <c r="C173" s="37"/>
      <c r="D173" s="37"/>
      <c r="E173" s="37"/>
      <c r="F173" s="37"/>
      <c r="G173" s="3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8.75" customHeight="1">
      <c r="A174" s="37"/>
      <c r="B174" s="83"/>
      <c r="C174" s="37"/>
      <c r="D174" s="37"/>
      <c r="E174" s="37"/>
      <c r="F174" s="37"/>
      <c r="G174" s="3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8.75" customHeight="1">
      <c r="A175" s="37"/>
      <c r="B175" s="83"/>
      <c r="C175" s="37"/>
      <c r="D175" s="37"/>
      <c r="E175" s="37"/>
      <c r="F175" s="37"/>
      <c r="G175" s="3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8.75" customHeight="1">
      <c r="A176" s="37"/>
      <c r="B176" s="83"/>
      <c r="C176" s="37"/>
      <c r="D176" s="37"/>
      <c r="E176" s="37"/>
      <c r="F176" s="37"/>
      <c r="G176" s="3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8.75" customHeight="1">
      <c r="A177" s="37"/>
      <c r="B177" s="83"/>
      <c r="C177" s="37"/>
      <c r="D177" s="37"/>
      <c r="E177" s="37"/>
      <c r="F177" s="37"/>
      <c r="G177" s="3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8.75" customHeight="1">
      <c r="A178" s="37"/>
      <c r="B178" s="83"/>
      <c r="C178" s="37"/>
      <c r="D178" s="37"/>
      <c r="E178" s="37"/>
      <c r="F178" s="37"/>
      <c r="G178" s="3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8.75" customHeight="1">
      <c r="A179" s="37"/>
      <c r="B179" s="83"/>
      <c r="C179" s="37"/>
      <c r="D179" s="37"/>
      <c r="E179" s="37"/>
      <c r="F179" s="37"/>
      <c r="G179" s="3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8.75" customHeight="1">
      <c r="A180" s="37"/>
      <c r="B180" s="83"/>
      <c r="C180" s="37"/>
      <c r="D180" s="37"/>
      <c r="E180" s="37"/>
      <c r="F180" s="37"/>
      <c r="G180" s="3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8.75" customHeight="1">
      <c r="A181" s="37"/>
      <c r="B181" s="83"/>
      <c r="C181" s="37"/>
      <c r="D181" s="37"/>
      <c r="E181" s="37"/>
      <c r="F181" s="37"/>
      <c r="G181" s="3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8.75" customHeight="1">
      <c r="A182" s="37"/>
      <c r="B182" s="83"/>
      <c r="C182" s="37"/>
      <c r="D182" s="37"/>
      <c r="E182" s="37"/>
      <c r="F182" s="37"/>
      <c r="G182" s="3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8.75" customHeight="1">
      <c r="A183" s="37"/>
      <c r="B183" s="83"/>
      <c r="C183" s="37"/>
      <c r="D183" s="37"/>
      <c r="E183" s="37"/>
      <c r="F183" s="37"/>
      <c r="G183" s="3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8.75" customHeight="1">
      <c r="A184" s="37"/>
      <c r="B184" s="83"/>
      <c r="C184" s="37"/>
      <c r="D184" s="37"/>
      <c r="E184" s="37"/>
      <c r="F184" s="37"/>
      <c r="G184" s="3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8.75" customHeight="1">
      <c r="A185" s="37"/>
      <c r="B185" s="83"/>
      <c r="C185" s="37"/>
      <c r="D185" s="37"/>
      <c r="E185" s="37"/>
      <c r="F185" s="37"/>
      <c r="G185" s="3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8.75" customHeight="1">
      <c r="A186" s="37"/>
      <c r="B186" s="83"/>
      <c r="C186" s="37"/>
      <c r="D186" s="37"/>
      <c r="E186" s="37"/>
      <c r="F186" s="37"/>
      <c r="G186" s="3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8.75" customHeight="1">
      <c r="A187" s="37"/>
      <c r="B187" s="83"/>
      <c r="C187" s="37"/>
      <c r="D187" s="37"/>
      <c r="E187" s="37"/>
      <c r="F187" s="37"/>
      <c r="G187" s="3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8.75" customHeight="1">
      <c r="A188" s="37"/>
      <c r="B188" s="83"/>
      <c r="C188" s="37"/>
      <c r="D188" s="37"/>
      <c r="E188" s="37"/>
      <c r="F188" s="37"/>
      <c r="G188" s="3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8.75" customHeight="1">
      <c r="A189" s="37"/>
      <c r="B189" s="83"/>
      <c r="C189" s="37"/>
      <c r="D189" s="37"/>
      <c r="E189" s="37"/>
      <c r="F189" s="37"/>
      <c r="G189" s="3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8.75" customHeight="1">
      <c r="A190" s="37"/>
      <c r="B190" s="83"/>
      <c r="C190" s="37"/>
      <c r="D190" s="37"/>
      <c r="E190" s="37"/>
      <c r="F190" s="37"/>
      <c r="G190" s="3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8.75" customHeight="1">
      <c r="A191" s="37"/>
      <c r="B191" s="83"/>
      <c r="C191" s="37"/>
      <c r="D191" s="37"/>
      <c r="E191" s="37"/>
      <c r="F191" s="37"/>
      <c r="G191" s="3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8.75" customHeight="1">
      <c r="A192" s="37"/>
      <c r="B192" s="83"/>
      <c r="C192" s="37"/>
      <c r="D192" s="37"/>
      <c r="E192" s="37"/>
      <c r="F192" s="37"/>
      <c r="G192" s="3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8.75" customHeight="1">
      <c r="A193" s="37"/>
      <c r="B193" s="83"/>
      <c r="C193" s="37"/>
      <c r="D193" s="37"/>
      <c r="E193" s="37"/>
      <c r="F193" s="37"/>
      <c r="G193" s="3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8.75" customHeight="1">
      <c r="A194" s="37"/>
      <c r="B194" s="83"/>
      <c r="C194" s="37"/>
      <c r="D194" s="37"/>
      <c r="E194" s="37"/>
      <c r="F194" s="37"/>
      <c r="G194" s="3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8.75" customHeight="1">
      <c r="A195" s="37"/>
      <c r="B195" s="83"/>
      <c r="C195" s="37"/>
      <c r="D195" s="37"/>
      <c r="E195" s="37"/>
      <c r="F195" s="37"/>
      <c r="G195" s="3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8.75" customHeight="1">
      <c r="A196" s="37"/>
      <c r="B196" s="83"/>
      <c r="C196" s="37"/>
      <c r="D196" s="37"/>
      <c r="E196" s="37"/>
      <c r="F196" s="37"/>
      <c r="G196" s="3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8.75" customHeight="1">
      <c r="A197" s="37"/>
      <c r="B197" s="83"/>
      <c r="C197" s="37"/>
      <c r="D197" s="37"/>
      <c r="E197" s="37"/>
      <c r="F197" s="37"/>
      <c r="G197" s="3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8.75" customHeight="1">
      <c r="A198" s="37"/>
      <c r="B198" s="83"/>
      <c r="C198" s="37"/>
      <c r="D198" s="37"/>
      <c r="E198" s="37"/>
      <c r="F198" s="37"/>
      <c r="G198" s="3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8.75" customHeight="1">
      <c r="A199" s="37"/>
      <c r="B199" s="83"/>
      <c r="C199" s="37"/>
      <c r="D199" s="37"/>
      <c r="E199" s="37"/>
      <c r="F199" s="37"/>
      <c r="G199" s="3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8.75" customHeight="1">
      <c r="A200" s="37"/>
      <c r="B200" s="83"/>
      <c r="C200" s="37"/>
      <c r="D200" s="37"/>
      <c r="E200" s="37"/>
      <c r="F200" s="37"/>
      <c r="G200" s="3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8.75" customHeight="1">
      <c r="A201" s="37"/>
      <c r="B201" s="83"/>
      <c r="C201" s="37"/>
      <c r="D201" s="37"/>
      <c r="E201" s="37"/>
      <c r="F201" s="37"/>
      <c r="G201" s="3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8.75" customHeight="1">
      <c r="A202" s="37"/>
      <c r="B202" s="83"/>
      <c r="C202" s="37"/>
      <c r="D202" s="37"/>
      <c r="E202" s="37"/>
      <c r="F202" s="37"/>
      <c r="G202" s="3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8.75" customHeight="1">
      <c r="A203" s="37"/>
      <c r="B203" s="83"/>
      <c r="C203" s="37"/>
      <c r="D203" s="37"/>
      <c r="E203" s="37"/>
      <c r="F203" s="37"/>
      <c r="G203" s="3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8.75" customHeight="1">
      <c r="A204" s="37"/>
      <c r="B204" s="83"/>
      <c r="C204" s="37"/>
      <c r="D204" s="37"/>
      <c r="E204" s="37"/>
      <c r="F204" s="37"/>
      <c r="G204" s="3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8.75" customHeight="1">
      <c r="A205" s="37"/>
      <c r="B205" s="83"/>
      <c r="C205" s="37"/>
      <c r="D205" s="37"/>
      <c r="E205" s="37"/>
      <c r="F205" s="37"/>
      <c r="G205" s="3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8.75" customHeight="1">
      <c r="A206" s="37"/>
      <c r="B206" s="83"/>
      <c r="C206" s="37"/>
      <c r="D206" s="37"/>
      <c r="E206" s="37"/>
      <c r="F206" s="37"/>
      <c r="G206" s="3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8.75" customHeight="1">
      <c r="A207" s="37"/>
      <c r="B207" s="83"/>
      <c r="C207" s="37"/>
      <c r="D207" s="37"/>
      <c r="E207" s="37"/>
      <c r="F207" s="37"/>
      <c r="G207" s="3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8.75" customHeight="1">
      <c r="A208" s="37"/>
      <c r="B208" s="83"/>
      <c r="C208" s="37"/>
      <c r="D208" s="37"/>
      <c r="E208" s="37"/>
      <c r="F208" s="37"/>
      <c r="G208" s="3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8.75" customHeight="1">
      <c r="A209" s="37"/>
      <c r="B209" s="83"/>
      <c r="C209" s="37"/>
      <c r="D209" s="37"/>
      <c r="E209" s="37"/>
      <c r="F209" s="37"/>
      <c r="G209" s="3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8.75" customHeight="1">
      <c r="A210" s="37"/>
      <c r="B210" s="83"/>
      <c r="C210" s="37"/>
      <c r="D210" s="37"/>
      <c r="E210" s="37"/>
      <c r="F210" s="37"/>
      <c r="G210" s="3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8.75" customHeight="1">
      <c r="A211" s="37"/>
      <c r="B211" s="83"/>
      <c r="C211" s="37"/>
      <c r="D211" s="37"/>
      <c r="E211" s="37"/>
      <c r="F211" s="37"/>
      <c r="G211" s="3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8.75" customHeight="1">
      <c r="A212" s="37"/>
      <c r="B212" s="83"/>
      <c r="C212" s="37"/>
      <c r="D212" s="37"/>
      <c r="E212" s="37"/>
      <c r="F212" s="37"/>
      <c r="G212" s="3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8.75" customHeight="1">
      <c r="A213" s="37"/>
      <c r="B213" s="83"/>
      <c r="C213" s="37"/>
      <c r="D213" s="37"/>
      <c r="E213" s="37"/>
      <c r="F213" s="37"/>
      <c r="G213" s="3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8.75" customHeight="1">
      <c r="A214" s="37"/>
      <c r="B214" s="83"/>
      <c r="C214" s="37"/>
      <c r="D214" s="37"/>
      <c r="E214" s="37"/>
      <c r="F214" s="37"/>
      <c r="G214" s="3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8.75" customHeight="1">
      <c r="A215" s="37"/>
      <c r="B215" s="83"/>
      <c r="C215" s="37"/>
      <c r="D215" s="37"/>
      <c r="E215" s="37"/>
      <c r="F215" s="37"/>
      <c r="G215" s="3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8.75" customHeight="1">
      <c r="A216" s="37"/>
      <c r="B216" s="83"/>
      <c r="C216" s="37"/>
      <c r="D216" s="37"/>
      <c r="E216" s="37"/>
      <c r="F216" s="37"/>
      <c r="G216" s="3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8.75" customHeight="1">
      <c r="A217" s="37"/>
      <c r="B217" s="83"/>
      <c r="C217" s="37"/>
      <c r="D217" s="37"/>
      <c r="E217" s="37"/>
      <c r="F217" s="37"/>
      <c r="G217" s="3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8.75" customHeight="1">
      <c r="A218" s="37"/>
      <c r="B218" s="83"/>
      <c r="C218" s="37"/>
      <c r="D218" s="37"/>
      <c r="E218" s="37"/>
      <c r="F218" s="37"/>
      <c r="G218" s="3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8.75" customHeight="1">
      <c r="A219" s="37"/>
      <c r="B219" s="83"/>
      <c r="C219" s="37"/>
      <c r="D219" s="37"/>
      <c r="E219" s="37"/>
      <c r="F219" s="37"/>
      <c r="G219" s="3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8.75" customHeight="1">
      <c r="A220" s="37"/>
      <c r="B220" s="83"/>
      <c r="C220" s="37"/>
      <c r="D220" s="37"/>
      <c r="E220" s="37"/>
      <c r="F220" s="37"/>
      <c r="G220" s="3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8.75" customHeight="1">
      <c r="A221" s="37"/>
      <c r="B221" s="83"/>
      <c r="C221" s="37"/>
      <c r="D221" s="37"/>
      <c r="E221" s="37"/>
      <c r="F221" s="37"/>
      <c r="G221" s="3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8.75" customHeight="1">
      <c r="A222" s="37"/>
      <c r="B222" s="83"/>
      <c r="C222" s="37"/>
      <c r="D222" s="37"/>
      <c r="E222" s="37"/>
      <c r="F222" s="37"/>
      <c r="G222" s="3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8.75" customHeight="1">
      <c r="A223" s="37"/>
      <c r="B223" s="83"/>
      <c r="C223" s="37"/>
      <c r="D223" s="37"/>
      <c r="E223" s="37"/>
      <c r="F223" s="37"/>
      <c r="G223" s="3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8.75" customHeight="1">
      <c r="A224" s="37"/>
      <c r="B224" s="83"/>
      <c r="C224" s="37"/>
      <c r="D224" s="37"/>
      <c r="E224" s="37"/>
      <c r="F224" s="37"/>
      <c r="G224" s="3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8.75" customHeight="1">
      <c r="A225" s="37"/>
      <c r="B225" s="83"/>
      <c r="C225" s="37"/>
      <c r="D225" s="37"/>
      <c r="E225" s="37"/>
      <c r="F225" s="37"/>
      <c r="G225" s="3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8.75" customHeight="1">
      <c r="A226" s="37"/>
      <c r="B226" s="83"/>
      <c r="C226" s="37"/>
      <c r="D226" s="37"/>
      <c r="E226" s="37"/>
      <c r="F226" s="37"/>
      <c r="G226" s="3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8.75" customHeight="1">
      <c r="A227" s="37"/>
      <c r="B227" s="83"/>
      <c r="C227" s="37"/>
      <c r="D227" s="37"/>
      <c r="E227" s="37"/>
      <c r="F227" s="37"/>
      <c r="G227" s="3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8.75" customHeight="1">
      <c r="A228" s="37"/>
      <c r="B228" s="83"/>
      <c r="C228" s="37"/>
      <c r="D228" s="37"/>
      <c r="E228" s="37"/>
      <c r="F228" s="37"/>
      <c r="G228" s="3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8.75" customHeight="1">
      <c r="A229" s="37"/>
      <c r="B229" s="83"/>
      <c r="C229" s="37"/>
      <c r="D229" s="37"/>
      <c r="E229" s="37"/>
      <c r="F229" s="37"/>
      <c r="G229" s="3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8.75" customHeight="1">
      <c r="A230" s="37"/>
      <c r="B230" s="83"/>
      <c r="C230" s="37"/>
      <c r="D230" s="37"/>
      <c r="E230" s="37"/>
      <c r="F230" s="37"/>
      <c r="G230" s="3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8.75" customHeight="1">
      <c r="A231" s="37"/>
      <c r="B231" s="83"/>
      <c r="C231" s="37"/>
      <c r="D231" s="37"/>
      <c r="E231" s="37"/>
      <c r="F231" s="37"/>
      <c r="G231" s="3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8.75" customHeight="1">
      <c r="A232" s="37"/>
      <c r="B232" s="83"/>
      <c r="C232" s="37"/>
      <c r="D232" s="37"/>
      <c r="E232" s="37"/>
      <c r="F232" s="37"/>
      <c r="G232" s="3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8.75" customHeight="1">
      <c r="A233" s="37"/>
      <c r="B233" s="83"/>
      <c r="C233" s="37"/>
      <c r="D233" s="37"/>
      <c r="E233" s="37"/>
      <c r="F233" s="37"/>
      <c r="G233" s="3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8.75" customHeight="1">
      <c r="A234" s="37"/>
      <c r="B234" s="83"/>
      <c r="C234" s="37"/>
      <c r="D234" s="37"/>
      <c r="E234" s="37"/>
      <c r="F234" s="37"/>
      <c r="G234" s="3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8.75" customHeight="1">
      <c r="A235" s="37"/>
      <c r="B235" s="83"/>
      <c r="C235" s="37"/>
      <c r="D235" s="37"/>
      <c r="E235" s="37"/>
      <c r="F235" s="37"/>
      <c r="G235" s="3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8.75" customHeight="1">
      <c r="A236" s="37"/>
      <c r="B236" s="83"/>
      <c r="C236" s="37"/>
      <c r="D236" s="37"/>
      <c r="E236" s="37"/>
      <c r="F236" s="37"/>
      <c r="G236" s="3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8.75" customHeight="1">
      <c r="A237" s="37"/>
      <c r="B237" s="83"/>
      <c r="C237" s="37"/>
      <c r="D237" s="37"/>
      <c r="E237" s="37"/>
      <c r="F237" s="37"/>
      <c r="G237" s="3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8.75" customHeight="1">
      <c r="A238" s="37"/>
      <c r="B238" s="83"/>
      <c r="C238" s="37"/>
      <c r="D238" s="37"/>
      <c r="E238" s="37"/>
      <c r="F238" s="37"/>
      <c r="G238" s="3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8.75" customHeight="1">
      <c r="A239" s="37"/>
      <c r="B239" s="83"/>
      <c r="C239" s="37"/>
      <c r="D239" s="37"/>
      <c r="E239" s="37"/>
      <c r="F239" s="37"/>
      <c r="G239" s="3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8.75" customHeight="1">
      <c r="A240" s="37"/>
      <c r="B240" s="83"/>
      <c r="C240" s="37"/>
      <c r="D240" s="37"/>
      <c r="E240" s="37"/>
      <c r="F240" s="37"/>
      <c r="G240" s="3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8.75" customHeight="1">
      <c r="A241" s="37"/>
      <c r="B241" s="83"/>
      <c r="C241" s="37"/>
      <c r="D241" s="37"/>
      <c r="E241" s="37"/>
      <c r="F241" s="37"/>
      <c r="G241" s="3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8.75" customHeight="1">
      <c r="A242" s="37"/>
      <c r="B242" s="83"/>
      <c r="C242" s="37"/>
      <c r="D242" s="37"/>
      <c r="E242" s="37"/>
      <c r="F242" s="37"/>
      <c r="G242" s="3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8.75" customHeight="1">
      <c r="A243" s="37"/>
      <c r="B243" s="83"/>
      <c r="C243" s="37"/>
      <c r="D243" s="37"/>
      <c r="E243" s="37"/>
      <c r="F243" s="37"/>
      <c r="G243" s="3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8.75" customHeight="1">
      <c r="A244" s="37"/>
      <c r="B244" s="83"/>
      <c r="C244" s="37"/>
      <c r="D244" s="37"/>
      <c r="E244" s="37"/>
      <c r="F244" s="37"/>
      <c r="G244" s="3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8.75" customHeight="1">
      <c r="A245" s="37"/>
      <c r="B245" s="83"/>
      <c r="C245" s="37"/>
      <c r="D245" s="37"/>
      <c r="E245" s="37"/>
      <c r="F245" s="37"/>
      <c r="G245" s="3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8.75" customHeight="1">
      <c r="A246" s="37"/>
      <c r="B246" s="83"/>
      <c r="C246" s="37"/>
      <c r="D246" s="37"/>
      <c r="E246" s="37"/>
      <c r="F246" s="37"/>
      <c r="G246" s="3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8.75" customHeight="1">
      <c r="A247" s="37"/>
      <c r="B247" s="83"/>
      <c r="C247" s="37"/>
      <c r="D247" s="37"/>
      <c r="E247" s="37"/>
      <c r="F247" s="37"/>
      <c r="G247" s="3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8.75" customHeight="1">
      <c r="A248" s="37"/>
      <c r="B248" s="83"/>
      <c r="C248" s="37"/>
      <c r="D248" s="37"/>
      <c r="E248" s="37"/>
      <c r="F248" s="37"/>
      <c r="G248" s="3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8.75" customHeight="1">
      <c r="A249" s="37"/>
      <c r="B249" s="83"/>
      <c r="C249" s="37"/>
      <c r="D249" s="37"/>
      <c r="E249" s="37"/>
      <c r="F249" s="37"/>
      <c r="G249" s="3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8.75" customHeight="1">
      <c r="A250" s="37"/>
      <c r="B250" s="83"/>
      <c r="C250" s="37"/>
      <c r="D250" s="37"/>
      <c r="E250" s="37"/>
      <c r="F250" s="37"/>
      <c r="G250" s="3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8.75" customHeight="1">
      <c r="A251" s="37"/>
      <c r="B251" s="83"/>
      <c r="C251" s="37"/>
      <c r="D251" s="37"/>
      <c r="E251" s="37"/>
      <c r="F251" s="37"/>
      <c r="G251" s="3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8.75" customHeight="1">
      <c r="A252" s="37"/>
      <c r="B252" s="83"/>
      <c r="C252" s="37"/>
      <c r="D252" s="37"/>
      <c r="E252" s="37"/>
      <c r="F252" s="37"/>
      <c r="G252" s="3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8.75" customHeight="1">
      <c r="A253" s="37"/>
      <c r="B253" s="83"/>
      <c r="C253" s="37"/>
      <c r="D253" s="37"/>
      <c r="E253" s="37"/>
      <c r="F253" s="37"/>
      <c r="G253" s="3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8.75" customHeight="1">
      <c r="A254" s="37"/>
      <c r="B254" s="83"/>
      <c r="C254" s="37"/>
      <c r="D254" s="37"/>
      <c r="E254" s="37"/>
      <c r="F254" s="37"/>
      <c r="G254" s="3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8.75" customHeight="1">
      <c r="A255" s="37"/>
      <c r="B255" s="83"/>
      <c r="C255" s="37"/>
      <c r="D255" s="37"/>
      <c r="E255" s="37"/>
      <c r="F255" s="37"/>
      <c r="G255" s="3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8.75" customHeight="1">
      <c r="A256" s="37"/>
      <c r="B256" s="83"/>
      <c r="C256" s="37"/>
      <c r="D256" s="37"/>
      <c r="E256" s="37"/>
      <c r="F256" s="37"/>
      <c r="G256" s="3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8.75" customHeight="1">
      <c r="A257" s="37"/>
      <c r="B257" s="83"/>
      <c r="C257" s="37"/>
      <c r="D257" s="37"/>
      <c r="E257" s="37"/>
      <c r="F257" s="37"/>
      <c r="G257" s="3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8.75" customHeight="1">
      <c r="A258" s="37"/>
      <c r="B258" s="83"/>
      <c r="C258" s="37"/>
      <c r="D258" s="37"/>
      <c r="E258" s="37"/>
      <c r="F258" s="37"/>
      <c r="G258" s="3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8.75" customHeight="1">
      <c r="A259" s="37"/>
      <c r="B259" s="83"/>
      <c r="C259" s="37"/>
      <c r="D259" s="37"/>
      <c r="E259" s="37"/>
      <c r="F259" s="37"/>
      <c r="G259" s="3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8.75" customHeight="1">
      <c r="A260" s="37"/>
      <c r="B260" s="83"/>
      <c r="C260" s="37"/>
      <c r="D260" s="37"/>
      <c r="E260" s="37"/>
      <c r="F260" s="37"/>
      <c r="G260" s="3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8.75" customHeight="1">
      <c r="A261" s="37"/>
      <c r="B261" s="83"/>
      <c r="C261" s="37"/>
      <c r="D261" s="37"/>
      <c r="E261" s="37"/>
      <c r="F261" s="37"/>
      <c r="G261" s="3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8.75" customHeight="1">
      <c r="A262" s="37"/>
      <c r="B262" s="83"/>
      <c r="C262" s="37"/>
      <c r="D262" s="37"/>
      <c r="E262" s="37"/>
      <c r="F262" s="37"/>
      <c r="G262" s="3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8.75" customHeight="1">
      <c r="A263" s="37"/>
      <c r="B263" s="83"/>
      <c r="C263" s="37"/>
      <c r="D263" s="37"/>
      <c r="E263" s="37"/>
      <c r="F263" s="37"/>
      <c r="G263" s="3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8.75" customHeight="1">
      <c r="A264" s="37"/>
      <c r="B264" s="83"/>
      <c r="C264" s="37"/>
      <c r="D264" s="37"/>
      <c r="E264" s="37"/>
      <c r="F264" s="37"/>
      <c r="G264" s="3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8.75" customHeight="1">
      <c r="A265" s="37"/>
      <c r="B265" s="83"/>
      <c r="C265" s="37"/>
      <c r="D265" s="37"/>
      <c r="E265" s="37"/>
      <c r="F265" s="37"/>
      <c r="G265" s="3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8.75" customHeight="1">
      <c r="A266" s="37"/>
      <c r="B266" s="83"/>
      <c r="C266" s="37"/>
      <c r="D266" s="37"/>
      <c r="E266" s="37"/>
      <c r="F266" s="37"/>
      <c r="G266" s="3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8.75" customHeight="1">
      <c r="A267" s="37"/>
      <c r="B267" s="83"/>
      <c r="C267" s="37"/>
      <c r="D267" s="37"/>
      <c r="E267" s="37"/>
      <c r="F267" s="37"/>
      <c r="G267" s="3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8.75" customHeight="1">
      <c r="A268" s="37"/>
      <c r="B268" s="83"/>
      <c r="C268" s="37"/>
      <c r="D268" s="37"/>
      <c r="E268" s="37"/>
      <c r="F268" s="37"/>
      <c r="G268" s="3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8.75" customHeight="1">
      <c r="A269" s="37"/>
      <c r="B269" s="83"/>
      <c r="C269" s="37"/>
      <c r="D269" s="37"/>
      <c r="E269" s="37"/>
      <c r="F269" s="37"/>
      <c r="G269" s="3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8.75" customHeight="1">
      <c r="A270" s="37"/>
      <c r="B270" s="83"/>
      <c r="C270" s="37"/>
      <c r="D270" s="37"/>
      <c r="E270" s="37"/>
      <c r="F270" s="37"/>
      <c r="G270" s="3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8.75" customHeight="1">
      <c r="A271" s="37"/>
      <c r="B271" s="83"/>
      <c r="C271" s="37"/>
      <c r="D271" s="37"/>
      <c r="E271" s="37"/>
      <c r="F271" s="37"/>
      <c r="G271" s="3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8.75" customHeight="1">
      <c r="A272" s="37"/>
      <c r="B272" s="83"/>
      <c r="C272" s="37"/>
      <c r="D272" s="37"/>
      <c r="E272" s="37"/>
      <c r="F272" s="37"/>
      <c r="G272" s="3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8.75" customHeight="1">
      <c r="A273" s="37"/>
      <c r="B273" s="83"/>
      <c r="C273" s="37"/>
      <c r="D273" s="37"/>
      <c r="E273" s="37"/>
      <c r="F273" s="37"/>
      <c r="G273" s="3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8.75" customHeight="1">
      <c r="A274" s="37"/>
      <c r="B274" s="83"/>
      <c r="C274" s="37"/>
      <c r="D274" s="37"/>
      <c r="E274" s="37"/>
      <c r="F274" s="37"/>
      <c r="G274" s="3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8.75" customHeight="1">
      <c r="A275" s="37"/>
      <c r="B275" s="83"/>
      <c r="C275" s="37"/>
      <c r="D275" s="37"/>
      <c r="E275" s="37"/>
      <c r="F275" s="37"/>
      <c r="G275" s="3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8.75" customHeight="1">
      <c r="A276" s="37"/>
      <c r="B276" s="83"/>
      <c r="C276" s="37"/>
      <c r="D276" s="37"/>
      <c r="E276" s="37"/>
      <c r="F276" s="37"/>
      <c r="G276" s="3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8.75" customHeight="1">
      <c r="A277" s="37"/>
      <c r="B277" s="83"/>
      <c r="C277" s="37"/>
      <c r="D277" s="37"/>
      <c r="E277" s="37"/>
      <c r="F277" s="37"/>
      <c r="G277" s="3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8.75" customHeight="1">
      <c r="A278" s="37"/>
      <c r="B278" s="83"/>
      <c r="C278" s="37"/>
      <c r="D278" s="37"/>
      <c r="E278" s="37"/>
      <c r="F278" s="37"/>
      <c r="G278" s="3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8.75" customHeight="1">
      <c r="A279" s="37"/>
      <c r="B279" s="83"/>
      <c r="C279" s="37"/>
      <c r="D279" s="37"/>
      <c r="E279" s="37"/>
      <c r="F279" s="37"/>
      <c r="G279" s="3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8.75" customHeight="1">
      <c r="A280" s="37"/>
      <c r="B280" s="83"/>
      <c r="C280" s="37"/>
      <c r="D280" s="37"/>
      <c r="E280" s="37"/>
      <c r="F280" s="37"/>
      <c r="G280" s="3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8.75" customHeight="1">
      <c r="A281" s="37"/>
      <c r="B281" s="83"/>
      <c r="C281" s="37"/>
      <c r="D281" s="37"/>
      <c r="E281" s="37"/>
      <c r="F281" s="37"/>
      <c r="G281" s="3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8.75" customHeight="1">
      <c r="A282" s="37"/>
      <c r="B282" s="83"/>
      <c r="C282" s="37"/>
      <c r="D282" s="37"/>
      <c r="E282" s="37"/>
      <c r="F282" s="37"/>
      <c r="G282" s="3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8.75" customHeight="1">
      <c r="A283" s="37"/>
      <c r="B283" s="83"/>
      <c r="C283" s="37"/>
      <c r="D283" s="37"/>
      <c r="E283" s="37"/>
      <c r="F283" s="37"/>
      <c r="G283" s="3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8.75" customHeight="1">
      <c r="A284" s="37"/>
      <c r="B284" s="83"/>
      <c r="C284" s="37"/>
      <c r="D284" s="37"/>
      <c r="E284" s="37"/>
      <c r="F284" s="37"/>
      <c r="G284" s="3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8.75" customHeight="1">
      <c r="A285" s="37"/>
      <c r="B285" s="83"/>
      <c r="C285" s="37"/>
      <c r="D285" s="37"/>
      <c r="E285" s="37"/>
      <c r="F285" s="37"/>
      <c r="G285" s="3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8.75" customHeight="1">
      <c r="A286" s="37"/>
      <c r="B286" s="83"/>
      <c r="C286" s="37"/>
      <c r="D286" s="37"/>
      <c r="E286" s="37"/>
      <c r="F286" s="37"/>
      <c r="G286" s="3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8.75" customHeight="1">
      <c r="A287" s="37"/>
      <c r="B287" s="83"/>
      <c r="C287" s="37"/>
      <c r="D287" s="37"/>
      <c r="E287" s="37"/>
      <c r="F287" s="37"/>
      <c r="G287" s="3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8.75" customHeight="1">
      <c r="A288" s="37"/>
      <c r="B288" s="83"/>
      <c r="C288" s="37"/>
      <c r="D288" s="37"/>
      <c r="E288" s="37"/>
      <c r="F288" s="37"/>
      <c r="G288" s="3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8.75" customHeight="1">
      <c r="A289" s="37"/>
      <c r="B289" s="83"/>
      <c r="C289" s="37"/>
      <c r="D289" s="37"/>
      <c r="E289" s="37"/>
      <c r="F289" s="37"/>
      <c r="G289" s="3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8.75" customHeight="1">
      <c r="A290" s="37"/>
      <c r="B290" s="83"/>
      <c r="C290" s="37"/>
      <c r="D290" s="37"/>
      <c r="E290" s="37"/>
      <c r="F290" s="37"/>
      <c r="G290" s="3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8.75" customHeight="1">
      <c r="A291" s="37"/>
      <c r="B291" s="83"/>
      <c r="C291" s="37"/>
      <c r="D291" s="37"/>
      <c r="E291" s="37"/>
      <c r="F291" s="37"/>
      <c r="G291" s="3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8.75" customHeight="1">
      <c r="A292" s="37"/>
      <c r="B292" s="83"/>
      <c r="C292" s="37"/>
      <c r="D292" s="37"/>
      <c r="E292" s="37"/>
      <c r="F292" s="37"/>
      <c r="G292" s="3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8.75" customHeight="1">
      <c r="A293" s="37"/>
      <c r="B293" s="83"/>
      <c r="C293" s="37"/>
      <c r="D293" s="37"/>
      <c r="E293" s="37"/>
      <c r="F293" s="37"/>
      <c r="G293" s="3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8.75" customHeight="1">
      <c r="A294" s="37"/>
      <c r="B294" s="83"/>
      <c r="C294" s="37"/>
      <c r="D294" s="37"/>
      <c r="E294" s="37"/>
      <c r="F294" s="37"/>
      <c r="G294" s="3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8.75" customHeight="1">
      <c r="A295" s="37"/>
      <c r="B295" s="83"/>
      <c r="C295" s="37"/>
      <c r="D295" s="37"/>
      <c r="E295" s="37"/>
      <c r="F295" s="37"/>
      <c r="G295" s="3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8.75" customHeight="1">
      <c r="A296" s="37"/>
      <c r="B296" s="83"/>
      <c r="C296" s="37"/>
      <c r="D296" s="37"/>
      <c r="E296" s="37"/>
      <c r="F296" s="37"/>
      <c r="G296" s="3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8.75" customHeight="1">
      <c r="A297" s="37"/>
      <c r="B297" s="83"/>
      <c r="C297" s="37"/>
      <c r="D297" s="37"/>
      <c r="E297" s="37"/>
      <c r="F297" s="37"/>
      <c r="G297" s="3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8.75" customHeight="1">
      <c r="A298" s="37"/>
      <c r="B298" s="83"/>
      <c r="C298" s="37"/>
      <c r="D298" s="37"/>
      <c r="E298" s="37"/>
      <c r="F298" s="37"/>
      <c r="G298" s="3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8.75" customHeight="1">
      <c r="A299" s="37"/>
      <c r="B299" s="83"/>
      <c r="C299" s="37"/>
      <c r="D299" s="37"/>
      <c r="E299" s="37"/>
      <c r="F299" s="37"/>
      <c r="G299" s="3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8.75" customHeight="1">
      <c r="A300" s="37"/>
      <c r="B300" s="83"/>
      <c r="C300" s="37"/>
      <c r="D300" s="37"/>
      <c r="E300" s="37"/>
      <c r="F300" s="37"/>
      <c r="G300" s="3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8.75" customHeight="1">
      <c r="A301" s="37"/>
      <c r="B301" s="83"/>
      <c r="C301" s="37"/>
      <c r="D301" s="37"/>
      <c r="E301" s="37"/>
      <c r="F301" s="37"/>
      <c r="G301" s="3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8.75" customHeight="1">
      <c r="A302" s="37"/>
      <c r="B302" s="83"/>
      <c r="C302" s="37"/>
      <c r="D302" s="37"/>
      <c r="E302" s="37"/>
      <c r="F302" s="37"/>
      <c r="G302" s="3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8.75" customHeight="1">
      <c r="A303" s="37"/>
      <c r="B303" s="83"/>
      <c r="C303" s="37"/>
      <c r="D303" s="37"/>
      <c r="E303" s="37"/>
      <c r="F303" s="37"/>
      <c r="G303" s="3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8.75" customHeight="1">
      <c r="A304" s="37"/>
      <c r="B304" s="83"/>
      <c r="C304" s="37"/>
      <c r="D304" s="37"/>
      <c r="E304" s="37"/>
      <c r="F304" s="37"/>
      <c r="G304" s="3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8.75" customHeight="1">
      <c r="A305" s="37"/>
      <c r="B305" s="83"/>
      <c r="C305" s="37"/>
      <c r="D305" s="37"/>
      <c r="E305" s="37"/>
      <c r="F305" s="37"/>
      <c r="G305" s="3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8.75" customHeight="1">
      <c r="A306" s="37"/>
      <c r="B306" s="83"/>
      <c r="C306" s="37"/>
      <c r="D306" s="37"/>
      <c r="E306" s="37"/>
      <c r="F306" s="37"/>
      <c r="G306" s="3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8.75" customHeight="1">
      <c r="A307" s="37"/>
      <c r="B307" s="83"/>
      <c r="C307" s="37"/>
      <c r="D307" s="37"/>
      <c r="E307" s="37"/>
      <c r="F307" s="37"/>
      <c r="G307" s="3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8.75" customHeight="1">
      <c r="A308" s="37"/>
      <c r="B308" s="83"/>
      <c r="C308" s="37"/>
      <c r="D308" s="37"/>
      <c r="E308" s="37"/>
      <c r="F308" s="37"/>
      <c r="G308" s="3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8.75" customHeight="1">
      <c r="A309" s="37"/>
      <c r="B309" s="83"/>
      <c r="C309" s="37"/>
      <c r="D309" s="37"/>
      <c r="E309" s="37"/>
      <c r="F309" s="37"/>
      <c r="G309" s="3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8.75" customHeight="1">
      <c r="A310" s="37"/>
      <c r="B310" s="83"/>
      <c r="C310" s="37"/>
      <c r="D310" s="37"/>
      <c r="E310" s="37"/>
      <c r="F310" s="37"/>
      <c r="G310" s="3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8.75" customHeight="1">
      <c r="A311" s="37"/>
      <c r="B311" s="83"/>
      <c r="C311" s="37"/>
      <c r="D311" s="37"/>
      <c r="E311" s="37"/>
      <c r="F311" s="37"/>
      <c r="G311" s="3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8.75" customHeight="1">
      <c r="A312" s="37"/>
      <c r="B312" s="83"/>
      <c r="C312" s="37"/>
      <c r="D312" s="37"/>
      <c r="E312" s="37"/>
      <c r="F312" s="37"/>
      <c r="G312" s="3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8.75" customHeight="1">
      <c r="A313" s="37"/>
      <c r="B313" s="83"/>
      <c r="C313" s="37"/>
      <c r="D313" s="37"/>
      <c r="E313" s="37"/>
      <c r="F313" s="37"/>
      <c r="G313" s="3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8.75" customHeight="1">
      <c r="A314" s="37"/>
      <c r="B314" s="83"/>
      <c r="C314" s="37"/>
      <c r="D314" s="37"/>
      <c r="E314" s="37"/>
      <c r="F314" s="37"/>
      <c r="G314" s="3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8.75" customHeight="1">
      <c r="A315" s="37"/>
      <c r="B315" s="83"/>
      <c r="C315" s="37"/>
      <c r="D315" s="37"/>
      <c r="E315" s="37"/>
      <c r="F315" s="37"/>
      <c r="G315" s="3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8.75" customHeight="1">
      <c r="A316" s="37"/>
      <c r="B316" s="83"/>
      <c r="C316" s="37"/>
      <c r="D316" s="37"/>
      <c r="E316" s="37"/>
      <c r="F316" s="37"/>
      <c r="G316" s="3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8.75" customHeight="1">
      <c r="A317" s="37"/>
      <c r="B317" s="83"/>
      <c r="C317" s="37"/>
      <c r="D317" s="37"/>
      <c r="E317" s="37"/>
      <c r="F317" s="37"/>
      <c r="G317" s="3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8.75" customHeight="1">
      <c r="A318" s="37"/>
      <c r="B318" s="83"/>
      <c r="C318" s="37"/>
      <c r="D318" s="37"/>
      <c r="E318" s="37"/>
      <c r="F318" s="37"/>
      <c r="G318" s="3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8.75" customHeight="1">
      <c r="A319" s="37"/>
      <c r="B319" s="83"/>
      <c r="C319" s="37"/>
      <c r="D319" s="37"/>
      <c r="E319" s="37"/>
      <c r="F319" s="37"/>
      <c r="G319" s="3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8.75" customHeight="1">
      <c r="A320" s="37"/>
      <c r="B320" s="83"/>
      <c r="C320" s="37"/>
      <c r="D320" s="37"/>
      <c r="E320" s="37"/>
      <c r="F320" s="37"/>
      <c r="G320" s="3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8.75" customHeight="1">
      <c r="A321" s="37"/>
      <c r="B321" s="83"/>
      <c r="C321" s="37"/>
      <c r="D321" s="37"/>
      <c r="E321" s="37"/>
      <c r="F321" s="37"/>
      <c r="G321" s="3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8.75" customHeight="1">
      <c r="A322" s="37"/>
      <c r="B322" s="83"/>
      <c r="C322" s="37"/>
      <c r="D322" s="37"/>
      <c r="E322" s="37"/>
      <c r="F322" s="37"/>
      <c r="G322" s="3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8.75" customHeight="1">
      <c r="A323" s="37"/>
      <c r="B323" s="83"/>
      <c r="C323" s="37"/>
      <c r="D323" s="37"/>
      <c r="E323" s="37"/>
      <c r="F323" s="37"/>
      <c r="G323" s="3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8.75" customHeight="1">
      <c r="A324" s="37"/>
      <c r="B324" s="83"/>
      <c r="C324" s="37"/>
      <c r="D324" s="37"/>
      <c r="E324" s="37"/>
      <c r="F324" s="37"/>
      <c r="G324" s="3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8.75" customHeight="1">
      <c r="A325" s="37"/>
      <c r="B325" s="83"/>
      <c r="C325" s="37"/>
      <c r="D325" s="37"/>
      <c r="E325" s="37"/>
      <c r="F325" s="37"/>
      <c r="G325" s="3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8.75" customHeight="1">
      <c r="A326" s="37"/>
      <c r="B326" s="83"/>
      <c r="C326" s="37"/>
      <c r="D326" s="37"/>
      <c r="E326" s="37"/>
      <c r="F326" s="37"/>
      <c r="G326" s="3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8.75" customHeight="1">
      <c r="A327" s="37"/>
      <c r="B327" s="83"/>
      <c r="C327" s="37"/>
      <c r="D327" s="37"/>
      <c r="E327" s="37"/>
      <c r="F327" s="37"/>
      <c r="G327" s="3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8.75" customHeight="1">
      <c r="A328" s="37"/>
      <c r="B328" s="83"/>
      <c r="C328" s="37"/>
      <c r="D328" s="37"/>
      <c r="E328" s="37"/>
      <c r="F328" s="37"/>
      <c r="G328" s="3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8.75" customHeight="1">
      <c r="A329" s="37"/>
      <c r="B329" s="83"/>
      <c r="C329" s="37"/>
      <c r="D329" s="37"/>
      <c r="E329" s="37"/>
      <c r="F329" s="37"/>
      <c r="G329" s="3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8.75" customHeight="1">
      <c r="A330" s="37"/>
      <c r="B330" s="83"/>
      <c r="C330" s="37"/>
      <c r="D330" s="37"/>
      <c r="E330" s="37"/>
      <c r="F330" s="37"/>
      <c r="G330" s="3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8.75" customHeight="1">
      <c r="A331" s="37"/>
      <c r="B331" s="83"/>
      <c r="C331" s="37"/>
      <c r="D331" s="37"/>
      <c r="E331" s="37"/>
      <c r="F331" s="37"/>
      <c r="G331" s="3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8.75" customHeight="1">
      <c r="A332" s="37"/>
      <c r="B332" s="83"/>
      <c r="C332" s="37"/>
      <c r="D332" s="37"/>
      <c r="E332" s="37"/>
      <c r="F332" s="37"/>
      <c r="G332" s="3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8.75" customHeight="1">
      <c r="A333" s="37"/>
      <c r="B333" s="83"/>
      <c r="C333" s="37"/>
      <c r="D333" s="37"/>
      <c r="E333" s="37"/>
      <c r="F333" s="37"/>
      <c r="G333" s="3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8.75" customHeight="1">
      <c r="A334" s="37"/>
      <c r="B334" s="83"/>
      <c r="C334" s="37"/>
      <c r="D334" s="37"/>
      <c r="E334" s="37"/>
      <c r="F334" s="37"/>
      <c r="G334" s="3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8.75" customHeight="1">
      <c r="A335" s="37"/>
      <c r="B335" s="83"/>
      <c r="C335" s="37"/>
      <c r="D335" s="37"/>
      <c r="E335" s="37"/>
      <c r="F335" s="37"/>
      <c r="G335" s="3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8.75" customHeight="1">
      <c r="A336" s="37"/>
      <c r="B336" s="83"/>
      <c r="C336" s="37"/>
      <c r="D336" s="37"/>
      <c r="E336" s="37"/>
      <c r="F336" s="37"/>
      <c r="G336" s="3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8.75" customHeight="1">
      <c r="A337" s="37"/>
      <c r="B337" s="83"/>
      <c r="C337" s="37"/>
      <c r="D337" s="37"/>
      <c r="E337" s="37"/>
      <c r="F337" s="37"/>
      <c r="G337" s="3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8.75" customHeight="1">
      <c r="A338" s="37"/>
      <c r="B338" s="83"/>
      <c r="C338" s="37"/>
      <c r="D338" s="37"/>
      <c r="E338" s="37"/>
      <c r="F338" s="37"/>
      <c r="G338" s="3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8.75" customHeight="1">
      <c r="A339" s="37"/>
      <c r="B339" s="83"/>
      <c r="C339" s="37"/>
      <c r="D339" s="37"/>
      <c r="E339" s="37"/>
      <c r="F339" s="37"/>
      <c r="G339" s="3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8.75" customHeight="1">
      <c r="A340" s="37"/>
      <c r="B340" s="83"/>
      <c r="C340" s="37"/>
      <c r="D340" s="37"/>
      <c r="E340" s="37"/>
      <c r="F340" s="37"/>
      <c r="G340" s="3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8.75" customHeight="1">
      <c r="A341" s="37"/>
      <c r="B341" s="83"/>
      <c r="C341" s="37"/>
      <c r="D341" s="37"/>
      <c r="E341" s="37"/>
      <c r="F341" s="37"/>
      <c r="G341" s="3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8.75" customHeight="1">
      <c r="A342" s="37"/>
      <c r="B342" s="83"/>
      <c r="C342" s="37"/>
      <c r="D342" s="37"/>
      <c r="E342" s="37"/>
      <c r="F342" s="37"/>
      <c r="G342" s="3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8.75" customHeight="1">
      <c r="A343" s="37"/>
      <c r="B343" s="83"/>
      <c r="C343" s="37"/>
      <c r="D343" s="37"/>
      <c r="E343" s="37"/>
      <c r="F343" s="37"/>
      <c r="G343" s="3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8.75" customHeight="1">
      <c r="A344" s="37"/>
      <c r="B344" s="83"/>
      <c r="C344" s="37"/>
      <c r="D344" s="37"/>
      <c r="E344" s="37"/>
      <c r="F344" s="37"/>
      <c r="G344" s="3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8.75" customHeight="1">
      <c r="A345" s="37"/>
      <c r="B345" s="83"/>
      <c r="C345" s="37"/>
      <c r="D345" s="37"/>
      <c r="E345" s="37"/>
      <c r="F345" s="37"/>
      <c r="G345" s="3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8.75" customHeight="1">
      <c r="A346" s="37"/>
      <c r="B346" s="83"/>
      <c r="C346" s="37"/>
      <c r="D346" s="37"/>
      <c r="E346" s="37"/>
      <c r="F346" s="37"/>
      <c r="G346" s="3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8.75" customHeight="1">
      <c r="A347" s="37"/>
      <c r="B347" s="83"/>
      <c r="C347" s="37"/>
      <c r="D347" s="37"/>
      <c r="E347" s="37"/>
      <c r="F347" s="37"/>
      <c r="G347" s="3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8.75" customHeight="1">
      <c r="A348" s="37"/>
      <c r="B348" s="83"/>
      <c r="C348" s="37"/>
      <c r="D348" s="37"/>
      <c r="E348" s="37"/>
      <c r="F348" s="37"/>
      <c r="G348" s="3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8.75" customHeight="1">
      <c r="A349" s="37"/>
      <c r="B349" s="83"/>
      <c r="C349" s="37"/>
      <c r="D349" s="37"/>
      <c r="E349" s="37"/>
      <c r="F349" s="37"/>
      <c r="G349" s="3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8.75" customHeight="1">
      <c r="A350" s="37"/>
      <c r="B350" s="83"/>
      <c r="C350" s="37"/>
      <c r="D350" s="37"/>
      <c r="E350" s="37"/>
      <c r="F350" s="37"/>
      <c r="G350" s="3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8.75" customHeight="1">
      <c r="A351" s="37"/>
      <c r="B351" s="83"/>
      <c r="C351" s="37"/>
      <c r="D351" s="37"/>
      <c r="E351" s="37"/>
      <c r="F351" s="37"/>
      <c r="G351" s="3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8.75" customHeight="1">
      <c r="A352" s="37"/>
      <c r="B352" s="83"/>
      <c r="C352" s="37"/>
      <c r="D352" s="37"/>
      <c r="E352" s="37"/>
      <c r="F352" s="37"/>
      <c r="G352" s="3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8.75" customHeight="1">
      <c r="A353" s="37"/>
      <c r="B353" s="83"/>
      <c r="C353" s="37"/>
      <c r="D353" s="37"/>
      <c r="E353" s="37"/>
      <c r="F353" s="37"/>
      <c r="G353" s="3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8.75" customHeight="1">
      <c r="A354" s="37"/>
      <c r="B354" s="83"/>
      <c r="C354" s="37"/>
      <c r="D354" s="37"/>
      <c r="E354" s="37"/>
      <c r="F354" s="37"/>
      <c r="G354" s="3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8.75" customHeight="1">
      <c r="A355" s="37"/>
      <c r="B355" s="83"/>
      <c r="C355" s="37"/>
      <c r="D355" s="37"/>
      <c r="E355" s="37"/>
      <c r="F355" s="37"/>
      <c r="G355" s="3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8.75" customHeight="1">
      <c r="A356" s="37"/>
      <c r="B356" s="83"/>
      <c r="C356" s="37"/>
      <c r="D356" s="37"/>
      <c r="E356" s="37"/>
      <c r="F356" s="37"/>
      <c r="G356" s="3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8.75" customHeight="1">
      <c r="A357" s="37"/>
      <c r="B357" s="83"/>
      <c r="C357" s="37"/>
      <c r="D357" s="37"/>
      <c r="E357" s="37"/>
      <c r="F357" s="37"/>
      <c r="G357" s="3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8.75" customHeight="1">
      <c r="A358" s="37"/>
      <c r="B358" s="83"/>
      <c r="C358" s="37"/>
      <c r="D358" s="37"/>
      <c r="E358" s="37"/>
      <c r="F358" s="37"/>
      <c r="G358" s="3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8.75" customHeight="1">
      <c r="A359" s="37"/>
      <c r="B359" s="83"/>
      <c r="C359" s="37"/>
      <c r="D359" s="37"/>
      <c r="E359" s="37"/>
      <c r="F359" s="37"/>
      <c r="G359" s="3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8.75" customHeight="1">
      <c r="A360" s="37"/>
      <c r="B360" s="83"/>
      <c r="C360" s="37"/>
      <c r="D360" s="37"/>
      <c r="E360" s="37"/>
      <c r="F360" s="37"/>
      <c r="G360" s="3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8.75" customHeight="1">
      <c r="A361" s="37"/>
      <c r="B361" s="83"/>
      <c r="C361" s="37"/>
      <c r="D361" s="37"/>
      <c r="E361" s="37"/>
      <c r="F361" s="37"/>
      <c r="G361" s="3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8.75" customHeight="1">
      <c r="A362" s="37"/>
      <c r="B362" s="83"/>
      <c r="C362" s="37"/>
      <c r="D362" s="37"/>
      <c r="E362" s="37"/>
      <c r="F362" s="37"/>
      <c r="G362" s="3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8.75" customHeight="1">
      <c r="A363" s="37"/>
      <c r="B363" s="83"/>
      <c r="C363" s="37"/>
      <c r="D363" s="37"/>
      <c r="E363" s="37"/>
      <c r="F363" s="37"/>
      <c r="G363" s="3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8.75" customHeight="1">
      <c r="A364" s="37"/>
      <c r="B364" s="83"/>
      <c r="C364" s="37"/>
      <c r="D364" s="37"/>
      <c r="E364" s="37"/>
      <c r="F364" s="37"/>
      <c r="G364" s="3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8.75" customHeight="1">
      <c r="A365" s="37"/>
      <c r="B365" s="83"/>
      <c r="C365" s="37"/>
      <c r="D365" s="37"/>
      <c r="E365" s="37"/>
      <c r="F365" s="37"/>
      <c r="G365" s="3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8.75" customHeight="1">
      <c r="A366" s="37"/>
      <c r="B366" s="83"/>
      <c r="C366" s="37"/>
      <c r="D366" s="37"/>
      <c r="E366" s="37"/>
      <c r="F366" s="37"/>
      <c r="G366" s="3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8.75" customHeight="1">
      <c r="A367" s="37"/>
      <c r="B367" s="83"/>
      <c r="C367" s="37"/>
      <c r="D367" s="37"/>
      <c r="E367" s="37"/>
      <c r="F367" s="37"/>
      <c r="G367" s="3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8.75" customHeight="1">
      <c r="A368" s="37"/>
      <c r="B368" s="83"/>
      <c r="C368" s="37"/>
      <c r="D368" s="37"/>
      <c r="E368" s="37"/>
      <c r="F368" s="37"/>
      <c r="G368" s="3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8.75" customHeight="1">
      <c r="A369" s="37"/>
      <c r="B369" s="83"/>
      <c r="C369" s="37"/>
      <c r="D369" s="37"/>
      <c r="E369" s="37"/>
      <c r="F369" s="37"/>
      <c r="G369" s="3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8.75" customHeight="1">
      <c r="A370" s="37"/>
      <c r="B370" s="83"/>
      <c r="C370" s="37"/>
      <c r="D370" s="37"/>
      <c r="E370" s="37"/>
      <c r="F370" s="37"/>
      <c r="G370" s="3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8.75" customHeight="1">
      <c r="A371" s="37"/>
      <c r="B371" s="83"/>
      <c r="C371" s="37"/>
      <c r="D371" s="37"/>
      <c r="E371" s="37"/>
      <c r="F371" s="37"/>
      <c r="G371" s="3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8.75" customHeight="1">
      <c r="A372" s="37"/>
      <c r="B372" s="83"/>
      <c r="C372" s="37"/>
      <c r="D372" s="37"/>
      <c r="E372" s="37"/>
      <c r="F372" s="37"/>
      <c r="G372" s="3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8.75" customHeight="1">
      <c r="A373" s="37"/>
      <c r="B373" s="83"/>
      <c r="C373" s="37"/>
      <c r="D373" s="37"/>
      <c r="E373" s="37"/>
      <c r="F373" s="37"/>
      <c r="G373" s="3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8.75" customHeight="1">
      <c r="A374" s="37"/>
      <c r="B374" s="83"/>
      <c r="C374" s="37"/>
      <c r="D374" s="37"/>
      <c r="E374" s="37"/>
      <c r="F374" s="37"/>
      <c r="G374" s="3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8.75" customHeight="1">
      <c r="A375" s="37"/>
      <c r="B375" s="83"/>
      <c r="C375" s="37"/>
      <c r="D375" s="37"/>
      <c r="E375" s="37"/>
      <c r="F375" s="37"/>
      <c r="G375" s="3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8.75" customHeight="1">
      <c r="A376" s="37"/>
      <c r="B376" s="83"/>
      <c r="C376" s="37"/>
      <c r="D376" s="37"/>
      <c r="E376" s="37"/>
      <c r="F376" s="37"/>
      <c r="G376" s="3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8.75" customHeight="1">
      <c r="A377" s="37"/>
      <c r="B377" s="83"/>
      <c r="C377" s="37"/>
      <c r="D377" s="37"/>
      <c r="E377" s="37"/>
      <c r="F377" s="37"/>
      <c r="G377" s="3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8.75" customHeight="1">
      <c r="A378" s="37"/>
      <c r="B378" s="83"/>
      <c r="C378" s="37"/>
      <c r="D378" s="37"/>
      <c r="E378" s="37"/>
      <c r="F378" s="37"/>
      <c r="G378" s="3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8.75" customHeight="1">
      <c r="A379" s="37"/>
      <c r="B379" s="83"/>
      <c r="C379" s="37"/>
      <c r="D379" s="37"/>
      <c r="E379" s="37"/>
      <c r="F379" s="37"/>
      <c r="G379" s="3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8.75" customHeight="1">
      <c r="A380" s="37"/>
      <c r="B380" s="83"/>
      <c r="C380" s="37"/>
      <c r="D380" s="37"/>
      <c r="E380" s="37"/>
      <c r="F380" s="37"/>
      <c r="G380" s="3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8.75" customHeight="1">
      <c r="A381" s="37"/>
      <c r="B381" s="83"/>
      <c r="C381" s="37"/>
      <c r="D381" s="37"/>
      <c r="E381" s="37"/>
      <c r="F381" s="37"/>
      <c r="G381" s="3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8.75" customHeight="1">
      <c r="A382" s="37"/>
      <c r="B382" s="83"/>
      <c r="C382" s="37"/>
      <c r="D382" s="37"/>
      <c r="E382" s="37"/>
      <c r="F382" s="37"/>
      <c r="G382" s="3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8.75" customHeight="1">
      <c r="A383" s="37"/>
      <c r="B383" s="83"/>
      <c r="C383" s="37"/>
      <c r="D383" s="37"/>
      <c r="E383" s="37"/>
      <c r="F383" s="37"/>
      <c r="G383" s="3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8.75" customHeight="1">
      <c r="A384" s="37"/>
      <c r="B384" s="83"/>
      <c r="C384" s="37"/>
      <c r="D384" s="37"/>
      <c r="E384" s="37"/>
      <c r="F384" s="37"/>
      <c r="G384" s="3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8.75" customHeight="1">
      <c r="A385" s="37"/>
      <c r="B385" s="83"/>
      <c r="C385" s="37"/>
      <c r="D385" s="37"/>
      <c r="E385" s="37"/>
      <c r="F385" s="37"/>
      <c r="G385" s="3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8.75" customHeight="1">
      <c r="A386" s="37"/>
      <c r="B386" s="83"/>
      <c r="C386" s="37"/>
      <c r="D386" s="37"/>
      <c r="E386" s="37"/>
      <c r="F386" s="37"/>
      <c r="G386" s="3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8.75" customHeight="1">
      <c r="A387" s="37"/>
      <c r="B387" s="83"/>
      <c r="C387" s="37"/>
      <c r="D387" s="37"/>
      <c r="E387" s="37"/>
      <c r="F387" s="37"/>
      <c r="G387" s="3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8.75" customHeight="1">
      <c r="A388" s="37"/>
      <c r="B388" s="83"/>
      <c r="C388" s="37"/>
      <c r="D388" s="37"/>
      <c r="E388" s="37"/>
      <c r="F388" s="37"/>
      <c r="G388" s="3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8.75" customHeight="1">
      <c r="A389" s="37"/>
      <c r="B389" s="83"/>
      <c r="C389" s="37"/>
      <c r="D389" s="37"/>
      <c r="E389" s="37"/>
      <c r="F389" s="37"/>
      <c r="G389" s="3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8.75" customHeight="1">
      <c r="A390" s="37"/>
      <c r="B390" s="83"/>
      <c r="C390" s="37"/>
      <c r="D390" s="37"/>
      <c r="E390" s="37"/>
      <c r="F390" s="37"/>
      <c r="G390" s="3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8.75" customHeight="1">
      <c r="A391" s="37"/>
      <c r="B391" s="83"/>
      <c r="C391" s="37"/>
      <c r="D391" s="37"/>
      <c r="E391" s="37"/>
      <c r="F391" s="37"/>
      <c r="G391" s="3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8.75" customHeight="1">
      <c r="A392" s="37"/>
      <c r="B392" s="83"/>
      <c r="C392" s="37"/>
      <c r="D392" s="37"/>
      <c r="E392" s="37"/>
      <c r="F392" s="37"/>
      <c r="G392" s="3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8.75" customHeight="1">
      <c r="A393" s="37"/>
      <c r="B393" s="83"/>
      <c r="C393" s="37"/>
      <c r="D393" s="37"/>
      <c r="E393" s="37"/>
      <c r="F393" s="37"/>
      <c r="G393" s="3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8.75" customHeight="1">
      <c r="A394" s="37"/>
      <c r="B394" s="83"/>
      <c r="C394" s="37"/>
      <c r="D394" s="37"/>
      <c r="E394" s="37"/>
      <c r="F394" s="37"/>
      <c r="G394" s="3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8.75" customHeight="1">
      <c r="A395" s="37"/>
      <c r="B395" s="83"/>
      <c r="C395" s="37"/>
      <c r="D395" s="37"/>
      <c r="E395" s="37"/>
      <c r="F395" s="37"/>
      <c r="G395" s="3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8.75" customHeight="1">
      <c r="A396" s="37"/>
      <c r="B396" s="83"/>
      <c r="C396" s="37"/>
      <c r="D396" s="37"/>
      <c r="E396" s="37"/>
      <c r="F396" s="37"/>
      <c r="G396" s="3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8.75" customHeight="1">
      <c r="A397" s="37"/>
      <c r="B397" s="83"/>
      <c r="C397" s="37"/>
      <c r="D397" s="37"/>
      <c r="E397" s="37"/>
      <c r="F397" s="37"/>
      <c r="G397" s="3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8.75" customHeight="1">
      <c r="A398" s="37"/>
      <c r="B398" s="83"/>
      <c r="C398" s="37"/>
      <c r="D398" s="37"/>
      <c r="E398" s="37"/>
      <c r="F398" s="37"/>
      <c r="G398" s="3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8.75" customHeight="1">
      <c r="A399" s="37"/>
      <c r="B399" s="83"/>
      <c r="C399" s="37"/>
      <c r="D399" s="37"/>
      <c r="E399" s="37"/>
      <c r="F399" s="37"/>
      <c r="G399" s="3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8.75" customHeight="1">
      <c r="A400" s="37"/>
      <c r="B400" s="83"/>
      <c r="C400" s="37"/>
      <c r="D400" s="37"/>
      <c r="E400" s="37"/>
      <c r="F400" s="37"/>
      <c r="G400" s="3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8.75" customHeight="1">
      <c r="A401" s="37"/>
      <c r="B401" s="83"/>
      <c r="C401" s="37"/>
      <c r="D401" s="37"/>
      <c r="E401" s="37"/>
      <c r="F401" s="37"/>
      <c r="G401" s="3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8.75" customHeight="1">
      <c r="A402" s="37"/>
      <c r="B402" s="83"/>
      <c r="C402" s="37"/>
      <c r="D402" s="37"/>
      <c r="E402" s="37"/>
      <c r="F402" s="37"/>
      <c r="G402" s="3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8.75" customHeight="1">
      <c r="A403" s="37"/>
      <c r="B403" s="83"/>
      <c r="C403" s="37"/>
      <c r="D403" s="37"/>
      <c r="E403" s="37"/>
      <c r="F403" s="37"/>
      <c r="G403" s="3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8.75" customHeight="1">
      <c r="A404" s="37"/>
      <c r="B404" s="83"/>
      <c r="C404" s="37"/>
      <c r="D404" s="37"/>
      <c r="E404" s="37"/>
      <c r="F404" s="37"/>
      <c r="G404" s="3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8.75" customHeight="1">
      <c r="A405" s="37"/>
      <c r="B405" s="83"/>
      <c r="C405" s="37"/>
      <c r="D405" s="37"/>
      <c r="E405" s="37"/>
      <c r="F405" s="37"/>
      <c r="G405" s="3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8.75" customHeight="1">
      <c r="A406" s="37"/>
      <c r="B406" s="83"/>
      <c r="C406" s="37"/>
      <c r="D406" s="37"/>
      <c r="E406" s="37"/>
      <c r="F406" s="37"/>
      <c r="G406" s="3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8.75" customHeight="1">
      <c r="A407" s="37"/>
      <c r="B407" s="83"/>
      <c r="C407" s="37"/>
      <c r="D407" s="37"/>
      <c r="E407" s="37"/>
      <c r="F407" s="37"/>
      <c r="G407" s="3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8.75" customHeight="1">
      <c r="A408" s="37"/>
      <c r="B408" s="83"/>
      <c r="C408" s="37"/>
      <c r="D408" s="37"/>
      <c r="E408" s="37"/>
      <c r="F408" s="37"/>
      <c r="G408" s="3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8.75" customHeight="1">
      <c r="A409" s="37"/>
      <c r="B409" s="83"/>
      <c r="C409" s="37"/>
      <c r="D409" s="37"/>
      <c r="E409" s="37"/>
      <c r="F409" s="37"/>
      <c r="G409" s="3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8.75" customHeight="1">
      <c r="A410" s="37"/>
      <c r="B410" s="83"/>
      <c r="C410" s="37"/>
      <c r="D410" s="37"/>
      <c r="E410" s="37"/>
      <c r="F410" s="37"/>
      <c r="G410" s="3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8.75" customHeight="1">
      <c r="A411" s="37"/>
      <c r="B411" s="83"/>
      <c r="C411" s="37"/>
      <c r="D411" s="37"/>
      <c r="E411" s="37"/>
      <c r="F411" s="37"/>
      <c r="G411" s="3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8.75" customHeight="1">
      <c r="A412" s="37"/>
      <c r="B412" s="83"/>
      <c r="C412" s="37"/>
      <c r="D412" s="37"/>
      <c r="E412" s="37"/>
      <c r="F412" s="37"/>
      <c r="G412" s="3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8.75" customHeight="1">
      <c r="A413" s="37"/>
      <c r="B413" s="83"/>
      <c r="C413" s="37"/>
      <c r="D413" s="37"/>
      <c r="E413" s="37"/>
      <c r="F413" s="37"/>
      <c r="G413" s="3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8.75" customHeight="1">
      <c r="A414" s="37"/>
      <c r="B414" s="83"/>
      <c r="C414" s="37"/>
      <c r="D414" s="37"/>
      <c r="E414" s="37"/>
      <c r="F414" s="37"/>
      <c r="G414" s="3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8.75" customHeight="1">
      <c r="A415" s="37"/>
      <c r="B415" s="83"/>
      <c r="C415" s="37"/>
      <c r="D415" s="37"/>
      <c r="E415" s="37"/>
      <c r="F415" s="37"/>
      <c r="G415" s="3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8.75" customHeight="1">
      <c r="A416" s="37"/>
      <c r="B416" s="83"/>
      <c r="C416" s="37"/>
      <c r="D416" s="37"/>
      <c r="E416" s="37"/>
      <c r="F416" s="37"/>
      <c r="G416" s="3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8.75" customHeight="1">
      <c r="A417" s="37"/>
      <c r="B417" s="83"/>
      <c r="C417" s="37"/>
      <c r="D417" s="37"/>
      <c r="E417" s="37"/>
      <c r="F417" s="37"/>
      <c r="G417" s="3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8.75" customHeight="1">
      <c r="A418" s="37"/>
      <c r="B418" s="83"/>
      <c r="C418" s="37"/>
      <c r="D418" s="37"/>
      <c r="E418" s="37"/>
      <c r="F418" s="37"/>
      <c r="G418" s="3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8.75" customHeight="1">
      <c r="A419" s="37"/>
      <c r="B419" s="83"/>
      <c r="C419" s="37"/>
      <c r="D419" s="37"/>
      <c r="E419" s="37"/>
      <c r="F419" s="37"/>
      <c r="G419" s="3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8.75" customHeight="1">
      <c r="A420" s="37"/>
      <c r="B420" s="83"/>
      <c r="C420" s="37"/>
      <c r="D420" s="37"/>
      <c r="E420" s="37"/>
      <c r="F420" s="37"/>
      <c r="G420" s="3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8.75" customHeight="1">
      <c r="A421" s="37"/>
      <c r="B421" s="83"/>
      <c r="C421" s="37"/>
      <c r="D421" s="37"/>
      <c r="E421" s="37"/>
      <c r="F421" s="37"/>
      <c r="G421" s="3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8.75" customHeight="1">
      <c r="A422" s="37"/>
      <c r="B422" s="83"/>
      <c r="C422" s="37"/>
      <c r="D422" s="37"/>
      <c r="E422" s="37"/>
      <c r="F422" s="37"/>
      <c r="G422" s="3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8.75" customHeight="1">
      <c r="A423" s="37"/>
      <c r="B423" s="83"/>
      <c r="C423" s="37"/>
      <c r="D423" s="37"/>
      <c r="E423" s="37"/>
      <c r="F423" s="37"/>
      <c r="G423" s="3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8.75" customHeight="1">
      <c r="A424" s="37"/>
      <c r="B424" s="83"/>
      <c r="C424" s="37"/>
      <c r="D424" s="37"/>
      <c r="E424" s="37"/>
      <c r="F424" s="37"/>
      <c r="G424" s="3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8.75" customHeight="1">
      <c r="A425" s="37"/>
      <c r="B425" s="83"/>
      <c r="C425" s="37"/>
      <c r="D425" s="37"/>
      <c r="E425" s="37"/>
      <c r="F425" s="37"/>
      <c r="G425" s="3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8.75" customHeight="1">
      <c r="A426" s="37"/>
      <c r="B426" s="83"/>
      <c r="C426" s="37"/>
      <c r="D426" s="37"/>
      <c r="E426" s="37"/>
      <c r="F426" s="37"/>
      <c r="G426" s="3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8.75" customHeight="1">
      <c r="A427" s="37"/>
      <c r="B427" s="83"/>
      <c r="C427" s="37"/>
      <c r="D427" s="37"/>
      <c r="E427" s="37"/>
      <c r="F427" s="37"/>
      <c r="G427" s="3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8.75" customHeight="1">
      <c r="A428" s="37"/>
      <c r="B428" s="83"/>
      <c r="C428" s="37"/>
      <c r="D428" s="37"/>
      <c r="E428" s="37"/>
      <c r="F428" s="37"/>
      <c r="G428" s="3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8.75" customHeight="1">
      <c r="A429" s="37"/>
      <c r="B429" s="83"/>
      <c r="C429" s="37"/>
      <c r="D429" s="37"/>
      <c r="E429" s="37"/>
      <c r="F429" s="37"/>
      <c r="G429" s="3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8.75" customHeight="1">
      <c r="A430" s="37"/>
      <c r="B430" s="83"/>
      <c r="C430" s="37"/>
      <c r="D430" s="37"/>
      <c r="E430" s="37"/>
      <c r="F430" s="37"/>
      <c r="G430" s="3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8.75" customHeight="1">
      <c r="A431" s="37"/>
      <c r="B431" s="83"/>
      <c r="C431" s="37"/>
      <c r="D431" s="37"/>
      <c r="E431" s="37"/>
      <c r="F431" s="37"/>
      <c r="G431" s="3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8.75" customHeight="1">
      <c r="A432" s="37"/>
      <c r="B432" s="83"/>
      <c r="C432" s="37"/>
      <c r="D432" s="37"/>
      <c r="E432" s="37"/>
      <c r="F432" s="37"/>
      <c r="G432" s="3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8.75" customHeight="1">
      <c r="A433" s="37"/>
      <c r="B433" s="83"/>
      <c r="C433" s="37"/>
      <c r="D433" s="37"/>
      <c r="E433" s="37"/>
      <c r="F433" s="37"/>
      <c r="G433" s="3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8.75" customHeight="1">
      <c r="A434" s="37"/>
      <c r="B434" s="83"/>
      <c r="C434" s="37"/>
      <c r="D434" s="37"/>
      <c r="E434" s="37"/>
      <c r="F434" s="37"/>
      <c r="G434" s="3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8.75" customHeight="1">
      <c r="A435" s="37"/>
      <c r="B435" s="83"/>
      <c r="C435" s="37"/>
      <c r="D435" s="37"/>
      <c r="E435" s="37"/>
      <c r="F435" s="37"/>
      <c r="G435" s="3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8.75" customHeight="1">
      <c r="A436" s="37"/>
      <c r="B436" s="83"/>
      <c r="C436" s="37"/>
      <c r="D436" s="37"/>
      <c r="E436" s="37"/>
      <c r="F436" s="37"/>
      <c r="G436" s="3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8.75" customHeight="1">
      <c r="A437" s="37"/>
      <c r="B437" s="83"/>
      <c r="C437" s="37"/>
      <c r="D437" s="37"/>
      <c r="E437" s="37"/>
      <c r="F437" s="37"/>
      <c r="G437" s="3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8.75" customHeight="1">
      <c r="A438" s="37"/>
      <c r="B438" s="83"/>
      <c r="C438" s="37"/>
      <c r="D438" s="37"/>
      <c r="E438" s="37"/>
      <c r="F438" s="37"/>
      <c r="G438" s="3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8.75" customHeight="1">
      <c r="A439" s="37"/>
      <c r="B439" s="83"/>
      <c r="C439" s="37"/>
      <c r="D439" s="37"/>
      <c r="E439" s="37"/>
      <c r="F439" s="37"/>
      <c r="G439" s="3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8.75" customHeight="1">
      <c r="A440" s="37"/>
      <c r="B440" s="83"/>
      <c r="C440" s="37"/>
      <c r="D440" s="37"/>
      <c r="E440" s="37"/>
      <c r="F440" s="37"/>
      <c r="G440" s="3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8.75" customHeight="1">
      <c r="A441" s="37"/>
      <c r="B441" s="83"/>
      <c r="C441" s="37"/>
      <c r="D441" s="37"/>
      <c r="E441" s="37"/>
      <c r="F441" s="37"/>
      <c r="G441" s="3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8.75" customHeight="1">
      <c r="A442" s="37"/>
      <c r="B442" s="83"/>
      <c r="C442" s="37"/>
      <c r="D442" s="37"/>
      <c r="E442" s="37"/>
      <c r="F442" s="37"/>
      <c r="G442" s="3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8.75" customHeight="1">
      <c r="A443" s="37"/>
      <c r="B443" s="83"/>
      <c r="C443" s="37"/>
      <c r="D443" s="37"/>
      <c r="E443" s="37"/>
      <c r="F443" s="37"/>
      <c r="G443" s="3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8.75" customHeight="1">
      <c r="A444" s="37"/>
      <c r="B444" s="83"/>
      <c r="C444" s="37"/>
      <c r="D444" s="37"/>
      <c r="E444" s="37"/>
      <c r="F444" s="37"/>
      <c r="G444" s="3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8.75" customHeight="1">
      <c r="A445" s="37"/>
      <c r="B445" s="83"/>
      <c r="C445" s="37"/>
      <c r="D445" s="37"/>
      <c r="E445" s="37"/>
      <c r="F445" s="37"/>
      <c r="G445" s="3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8.75" customHeight="1">
      <c r="A446" s="37"/>
      <c r="B446" s="83"/>
      <c r="C446" s="37"/>
      <c r="D446" s="37"/>
      <c r="E446" s="37"/>
      <c r="F446" s="37"/>
      <c r="G446" s="3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8.75" customHeight="1">
      <c r="A447" s="37"/>
      <c r="B447" s="83"/>
      <c r="C447" s="37"/>
      <c r="D447" s="37"/>
      <c r="E447" s="37"/>
      <c r="F447" s="37"/>
      <c r="G447" s="3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8.75" customHeight="1">
      <c r="A448" s="37"/>
      <c r="B448" s="83"/>
      <c r="C448" s="37"/>
      <c r="D448" s="37"/>
      <c r="E448" s="37"/>
      <c r="F448" s="37"/>
      <c r="G448" s="3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8.75" customHeight="1">
      <c r="A449" s="37"/>
      <c r="B449" s="83"/>
      <c r="C449" s="37"/>
      <c r="D449" s="37"/>
      <c r="E449" s="37"/>
      <c r="F449" s="37"/>
      <c r="G449" s="3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8.75" customHeight="1">
      <c r="A450" s="37"/>
      <c r="B450" s="83"/>
      <c r="C450" s="37"/>
      <c r="D450" s="37"/>
      <c r="E450" s="37"/>
      <c r="F450" s="37"/>
      <c r="G450" s="3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8.75" customHeight="1">
      <c r="A451" s="37"/>
      <c r="B451" s="83"/>
      <c r="C451" s="37"/>
      <c r="D451" s="37"/>
      <c r="E451" s="37"/>
      <c r="F451" s="37"/>
      <c r="G451" s="3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8.75" customHeight="1">
      <c r="A452" s="37"/>
      <c r="B452" s="83"/>
      <c r="C452" s="37"/>
      <c r="D452" s="37"/>
      <c r="E452" s="37"/>
      <c r="F452" s="37"/>
      <c r="G452" s="3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8.75" customHeight="1">
      <c r="A453" s="37"/>
      <c r="B453" s="83"/>
      <c r="C453" s="37"/>
      <c r="D453" s="37"/>
      <c r="E453" s="37"/>
      <c r="F453" s="37"/>
      <c r="G453" s="3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8.75" customHeight="1">
      <c r="A454" s="37"/>
      <c r="B454" s="83"/>
      <c r="C454" s="37"/>
      <c r="D454" s="37"/>
      <c r="E454" s="37"/>
      <c r="F454" s="37"/>
      <c r="G454" s="3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8.75" customHeight="1">
      <c r="A455" s="37"/>
      <c r="B455" s="83"/>
      <c r="C455" s="37"/>
      <c r="D455" s="37"/>
      <c r="E455" s="37"/>
      <c r="F455" s="37"/>
      <c r="G455" s="3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8.75" customHeight="1">
      <c r="A456" s="37"/>
      <c r="B456" s="83"/>
      <c r="C456" s="37"/>
      <c r="D456" s="37"/>
      <c r="E456" s="37"/>
      <c r="F456" s="37"/>
      <c r="G456" s="3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8.75" customHeight="1">
      <c r="A457" s="37"/>
      <c r="B457" s="83"/>
      <c r="C457" s="37"/>
      <c r="D457" s="37"/>
      <c r="E457" s="37"/>
      <c r="F457" s="37"/>
      <c r="G457" s="3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8.75" customHeight="1">
      <c r="A458" s="37"/>
      <c r="B458" s="83"/>
      <c r="C458" s="37"/>
      <c r="D458" s="37"/>
      <c r="E458" s="37"/>
      <c r="F458" s="37"/>
      <c r="G458" s="3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8.75" customHeight="1">
      <c r="A459" s="37"/>
      <c r="B459" s="83"/>
      <c r="C459" s="37"/>
      <c r="D459" s="37"/>
      <c r="E459" s="37"/>
      <c r="F459" s="37"/>
      <c r="G459" s="3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8.75" customHeight="1">
      <c r="A460" s="37"/>
      <c r="B460" s="83"/>
      <c r="C460" s="37"/>
      <c r="D460" s="37"/>
      <c r="E460" s="37"/>
      <c r="F460" s="37"/>
      <c r="G460" s="3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8.75" customHeight="1">
      <c r="A461" s="37"/>
      <c r="B461" s="83"/>
      <c r="C461" s="37"/>
      <c r="D461" s="37"/>
      <c r="E461" s="37"/>
      <c r="F461" s="37"/>
      <c r="G461" s="3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8.75" customHeight="1">
      <c r="A462" s="37"/>
      <c r="B462" s="83"/>
      <c r="C462" s="37"/>
      <c r="D462" s="37"/>
      <c r="E462" s="37"/>
      <c r="F462" s="37"/>
      <c r="G462" s="3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8.75" customHeight="1">
      <c r="A463" s="37"/>
      <c r="B463" s="83"/>
      <c r="C463" s="37"/>
      <c r="D463" s="37"/>
      <c r="E463" s="37"/>
      <c r="F463" s="37"/>
      <c r="G463" s="3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8.75" customHeight="1">
      <c r="A464" s="37"/>
      <c r="B464" s="83"/>
      <c r="C464" s="37"/>
      <c r="D464" s="37"/>
      <c r="E464" s="37"/>
      <c r="F464" s="37"/>
      <c r="G464" s="3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8.75" customHeight="1">
      <c r="A465" s="37"/>
      <c r="B465" s="83"/>
      <c r="C465" s="37"/>
      <c r="D465" s="37"/>
      <c r="E465" s="37"/>
      <c r="F465" s="37"/>
      <c r="G465" s="3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8.75" customHeight="1">
      <c r="A466" s="37"/>
      <c r="B466" s="83"/>
      <c r="C466" s="37"/>
      <c r="D466" s="37"/>
      <c r="E466" s="37"/>
      <c r="F466" s="37"/>
      <c r="G466" s="3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8.75" customHeight="1">
      <c r="A467" s="37"/>
      <c r="B467" s="83"/>
      <c r="C467" s="37"/>
      <c r="D467" s="37"/>
      <c r="E467" s="37"/>
      <c r="F467" s="37"/>
      <c r="G467" s="3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8.75" customHeight="1">
      <c r="A468" s="37"/>
      <c r="B468" s="83"/>
      <c r="C468" s="37"/>
      <c r="D468" s="37"/>
      <c r="E468" s="37"/>
      <c r="F468" s="37"/>
      <c r="G468" s="3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8.75" customHeight="1">
      <c r="A469" s="37"/>
      <c r="B469" s="83"/>
      <c r="C469" s="37"/>
      <c r="D469" s="37"/>
      <c r="E469" s="37"/>
      <c r="F469" s="37"/>
      <c r="G469" s="3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8.75" customHeight="1">
      <c r="A470" s="37"/>
      <c r="B470" s="83"/>
      <c r="C470" s="37"/>
      <c r="D470" s="37"/>
      <c r="E470" s="37"/>
      <c r="F470" s="37"/>
      <c r="G470" s="3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8.75" customHeight="1">
      <c r="A471" s="37"/>
      <c r="B471" s="83"/>
      <c r="C471" s="37"/>
      <c r="D471" s="37"/>
      <c r="E471" s="37"/>
      <c r="F471" s="37"/>
      <c r="G471" s="3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8.75" customHeight="1">
      <c r="A472" s="37"/>
      <c r="B472" s="83"/>
      <c r="C472" s="37"/>
      <c r="D472" s="37"/>
      <c r="E472" s="37"/>
      <c r="F472" s="37"/>
      <c r="G472" s="3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8.75" customHeight="1">
      <c r="A473" s="37"/>
      <c r="B473" s="83"/>
      <c r="C473" s="37"/>
      <c r="D473" s="37"/>
      <c r="E473" s="37"/>
      <c r="F473" s="37"/>
      <c r="G473" s="3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8.75" customHeight="1">
      <c r="A474" s="37"/>
      <c r="B474" s="83"/>
      <c r="C474" s="37"/>
      <c r="D474" s="37"/>
      <c r="E474" s="37"/>
      <c r="F474" s="37"/>
      <c r="G474" s="3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8.75" customHeight="1">
      <c r="A475" s="37"/>
      <c r="B475" s="83"/>
      <c r="C475" s="37"/>
      <c r="D475" s="37"/>
      <c r="E475" s="37"/>
      <c r="F475" s="37"/>
      <c r="G475" s="3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8.75" customHeight="1">
      <c r="A476" s="37"/>
      <c r="B476" s="83"/>
      <c r="C476" s="37"/>
      <c r="D476" s="37"/>
      <c r="E476" s="37"/>
      <c r="F476" s="37"/>
      <c r="G476" s="3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8.75" customHeight="1">
      <c r="A477" s="37"/>
      <c r="B477" s="83"/>
      <c r="C477" s="37"/>
      <c r="D477" s="37"/>
      <c r="E477" s="37"/>
      <c r="F477" s="37"/>
      <c r="G477" s="3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8.75" customHeight="1">
      <c r="A478" s="37"/>
      <c r="B478" s="83"/>
      <c r="C478" s="37"/>
      <c r="D478" s="37"/>
      <c r="E478" s="37"/>
      <c r="F478" s="37"/>
      <c r="G478" s="3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8.75" customHeight="1">
      <c r="A479" s="37"/>
      <c r="B479" s="83"/>
      <c r="C479" s="37"/>
      <c r="D479" s="37"/>
      <c r="E479" s="37"/>
      <c r="F479" s="37"/>
      <c r="G479" s="3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8.75" customHeight="1">
      <c r="A480" s="37"/>
      <c r="B480" s="83"/>
      <c r="C480" s="37"/>
      <c r="D480" s="37"/>
      <c r="E480" s="37"/>
      <c r="F480" s="37"/>
      <c r="G480" s="3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8.75" customHeight="1">
      <c r="A481" s="37"/>
      <c r="B481" s="83"/>
      <c r="C481" s="37"/>
      <c r="D481" s="37"/>
      <c r="E481" s="37"/>
      <c r="F481" s="37"/>
      <c r="G481" s="3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8.75" customHeight="1">
      <c r="A482" s="37"/>
      <c r="B482" s="83"/>
      <c r="C482" s="37"/>
      <c r="D482" s="37"/>
      <c r="E482" s="37"/>
      <c r="F482" s="37"/>
      <c r="G482" s="3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8.75" customHeight="1">
      <c r="A483" s="37"/>
      <c r="B483" s="83"/>
      <c r="C483" s="37"/>
      <c r="D483" s="37"/>
      <c r="E483" s="37"/>
      <c r="F483" s="37"/>
      <c r="G483" s="3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8.75" customHeight="1">
      <c r="A484" s="37"/>
      <c r="B484" s="83"/>
      <c r="C484" s="37"/>
      <c r="D484" s="37"/>
      <c r="E484" s="37"/>
      <c r="F484" s="37"/>
      <c r="G484" s="3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8.75" customHeight="1">
      <c r="A485" s="37"/>
      <c r="B485" s="83"/>
      <c r="C485" s="37"/>
      <c r="D485" s="37"/>
      <c r="E485" s="37"/>
      <c r="F485" s="37"/>
      <c r="G485" s="3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8.75" customHeight="1">
      <c r="A486" s="37"/>
      <c r="B486" s="83"/>
      <c r="C486" s="37"/>
      <c r="D486" s="37"/>
      <c r="E486" s="37"/>
      <c r="F486" s="37"/>
      <c r="G486" s="3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8.75" customHeight="1">
      <c r="A487" s="37"/>
      <c r="B487" s="83"/>
      <c r="C487" s="37"/>
      <c r="D487" s="37"/>
      <c r="E487" s="37"/>
      <c r="F487" s="37"/>
      <c r="G487" s="3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8.75" customHeight="1">
      <c r="A488" s="37"/>
      <c r="B488" s="83"/>
      <c r="C488" s="37"/>
      <c r="D488" s="37"/>
      <c r="E488" s="37"/>
      <c r="F488" s="37"/>
      <c r="G488" s="3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8.75" customHeight="1">
      <c r="A489" s="37"/>
      <c r="B489" s="83"/>
      <c r="C489" s="37"/>
      <c r="D489" s="37"/>
      <c r="E489" s="37"/>
      <c r="F489" s="37"/>
      <c r="G489" s="3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8.75" customHeight="1">
      <c r="A490" s="37"/>
      <c r="B490" s="83"/>
      <c r="C490" s="37"/>
      <c r="D490" s="37"/>
      <c r="E490" s="37"/>
      <c r="F490" s="37"/>
      <c r="G490" s="3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8.75" customHeight="1">
      <c r="A491" s="37"/>
      <c r="B491" s="83"/>
      <c r="C491" s="37"/>
      <c r="D491" s="37"/>
      <c r="E491" s="37"/>
      <c r="F491" s="37"/>
      <c r="G491" s="3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8.75" customHeight="1">
      <c r="A492" s="37"/>
      <c r="B492" s="83"/>
      <c r="C492" s="37"/>
      <c r="D492" s="37"/>
      <c r="E492" s="37"/>
      <c r="F492" s="37"/>
      <c r="G492" s="3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8.75" customHeight="1">
      <c r="A493" s="37"/>
      <c r="B493" s="83"/>
      <c r="C493" s="37"/>
      <c r="D493" s="37"/>
      <c r="E493" s="37"/>
      <c r="F493" s="37"/>
      <c r="G493" s="3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8.75" customHeight="1">
      <c r="A494" s="37"/>
      <c r="B494" s="83"/>
      <c r="C494" s="37"/>
      <c r="D494" s="37"/>
      <c r="E494" s="37"/>
      <c r="F494" s="37"/>
      <c r="G494" s="3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8.75" customHeight="1">
      <c r="A495" s="37"/>
      <c r="B495" s="83"/>
      <c r="C495" s="37"/>
      <c r="D495" s="37"/>
      <c r="E495" s="37"/>
      <c r="F495" s="37"/>
      <c r="G495" s="3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8.75" customHeight="1">
      <c r="A496" s="37"/>
      <c r="B496" s="83"/>
      <c r="C496" s="37"/>
      <c r="D496" s="37"/>
      <c r="E496" s="37"/>
      <c r="F496" s="37"/>
      <c r="G496" s="3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8.75" customHeight="1">
      <c r="A497" s="37"/>
      <c r="B497" s="83"/>
      <c r="C497" s="37"/>
      <c r="D497" s="37"/>
      <c r="E497" s="37"/>
      <c r="F497" s="37"/>
      <c r="G497" s="3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8.75" customHeight="1">
      <c r="A498" s="37"/>
      <c r="B498" s="83"/>
      <c r="C498" s="37"/>
      <c r="D498" s="37"/>
      <c r="E498" s="37"/>
      <c r="F498" s="37"/>
      <c r="G498" s="3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8.75" customHeight="1">
      <c r="A499" s="37"/>
      <c r="B499" s="83"/>
      <c r="C499" s="37"/>
      <c r="D499" s="37"/>
      <c r="E499" s="37"/>
      <c r="F499" s="37"/>
      <c r="G499" s="3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8.75" customHeight="1">
      <c r="A500" s="37"/>
      <c r="B500" s="83"/>
      <c r="C500" s="37"/>
      <c r="D500" s="37"/>
      <c r="E500" s="37"/>
      <c r="F500" s="37"/>
      <c r="G500" s="3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8.75" customHeight="1">
      <c r="A501" s="37"/>
      <c r="B501" s="83"/>
      <c r="C501" s="37"/>
      <c r="D501" s="37"/>
      <c r="E501" s="37"/>
      <c r="F501" s="37"/>
      <c r="G501" s="3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8.75" customHeight="1">
      <c r="A502" s="37"/>
      <c r="B502" s="83"/>
      <c r="C502" s="37"/>
      <c r="D502" s="37"/>
      <c r="E502" s="37"/>
      <c r="F502" s="37"/>
      <c r="G502" s="3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8.75" customHeight="1">
      <c r="A503" s="37"/>
      <c r="B503" s="83"/>
      <c r="C503" s="37"/>
      <c r="D503" s="37"/>
      <c r="E503" s="37"/>
      <c r="F503" s="37"/>
      <c r="G503" s="3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8.75" customHeight="1">
      <c r="A504" s="37"/>
      <c r="B504" s="83"/>
      <c r="C504" s="37"/>
      <c r="D504" s="37"/>
      <c r="E504" s="37"/>
      <c r="F504" s="37"/>
      <c r="G504" s="3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8.75" customHeight="1">
      <c r="A505" s="37"/>
      <c r="B505" s="83"/>
      <c r="C505" s="37"/>
      <c r="D505" s="37"/>
      <c r="E505" s="37"/>
      <c r="F505" s="37"/>
      <c r="G505" s="3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8.75" customHeight="1">
      <c r="A506" s="37"/>
      <c r="B506" s="83"/>
      <c r="C506" s="37"/>
      <c r="D506" s="37"/>
      <c r="E506" s="37"/>
      <c r="F506" s="37"/>
      <c r="G506" s="3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8.75" customHeight="1">
      <c r="A507" s="37"/>
      <c r="B507" s="83"/>
      <c r="C507" s="37"/>
      <c r="D507" s="37"/>
      <c r="E507" s="37"/>
      <c r="F507" s="37"/>
      <c r="G507" s="3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8.75" customHeight="1">
      <c r="A508" s="37"/>
      <c r="B508" s="83"/>
      <c r="C508" s="37"/>
      <c r="D508" s="37"/>
      <c r="E508" s="37"/>
      <c r="F508" s="37"/>
      <c r="G508" s="3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8.75" customHeight="1">
      <c r="A509" s="37"/>
      <c r="B509" s="83"/>
      <c r="C509" s="37"/>
      <c r="D509" s="37"/>
      <c r="E509" s="37"/>
      <c r="F509" s="37"/>
      <c r="G509" s="3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8.75" customHeight="1">
      <c r="A510" s="37"/>
      <c r="B510" s="83"/>
      <c r="C510" s="37"/>
      <c r="D510" s="37"/>
      <c r="E510" s="37"/>
      <c r="F510" s="37"/>
      <c r="G510" s="3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8.75" customHeight="1">
      <c r="A511" s="37"/>
      <c r="B511" s="83"/>
      <c r="C511" s="37"/>
      <c r="D511" s="37"/>
      <c r="E511" s="37"/>
      <c r="F511" s="37"/>
      <c r="G511" s="3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8.75" customHeight="1">
      <c r="A512" s="37"/>
      <c r="B512" s="83"/>
      <c r="C512" s="37"/>
      <c r="D512" s="37"/>
      <c r="E512" s="37"/>
      <c r="F512" s="37"/>
      <c r="G512" s="3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8.75" customHeight="1">
      <c r="A513" s="37"/>
      <c r="B513" s="83"/>
      <c r="C513" s="37"/>
      <c r="D513" s="37"/>
      <c r="E513" s="37"/>
      <c r="F513" s="37"/>
      <c r="G513" s="3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8.75" customHeight="1">
      <c r="A514" s="37"/>
      <c r="B514" s="83"/>
      <c r="C514" s="37"/>
      <c r="D514" s="37"/>
      <c r="E514" s="37"/>
      <c r="F514" s="37"/>
      <c r="G514" s="3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8.75" customHeight="1">
      <c r="A515" s="37"/>
      <c r="B515" s="83"/>
      <c r="C515" s="37"/>
      <c r="D515" s="37"/>
      <c r="E515" s="37"/>
      <c r="F515" s="37"/>
      <c r="G515" s="3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8.75" customHeight="1">
      <c r="A516" s="37"/>
      <c r="B516" s="83"/>
      <c r="C516" s="37"/>
      <c r="D516" s="37"/>
      <c r="E516" s="37"/>
      <c r="F516" s="37"/>
      <c r="G516" s="3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8.75" customHeight="1">
      <c r="A517" s="37"/>
      <c r="B517" s="83"/>
      <c r="C517" s="37"/>
      <c r="D517" s="37"/>
      <c r="E517" s="37"/>
      <c r="F517" s="37"/>
      <c r="G517" s="3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8.75" customHeight="1">
      <c r="A518" s="37"/>
      <c r="B518" s="83"/>
      <c r="C518" s="37"/>
      <c r="D518" s="37"/>
      <c r="E518" s="37"/>
      <c r="F518" s="37"/>
      <c r="G518" s="3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8.75" customHeight="1">
      <c r="A519" s="37"/>
      <c r="B519" s="83"/>
      <c r="C519" s="37"/>
      <c r="D519" s="37"/>
      <c r="E519" s="37"/>
      <c r="F519" s="37"/>
      <c r="G519" s="3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8.75" customHeight="1">
      <c r="A520" s="37"/>
      <c r="B520" s="83"/>
      <c r="C520" s="37"/>
      <c r="D520" s="37"/>
      <c r="E520" s="37"/>
      <c r="F520" s="37"/>
      <c r="G520" s="3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8.75" customHeight="1">
      <c r="A521" s="37"/>
      <c r="B521" s="83"/>
      <c r="C521" s="37"/>
      <c r="D521" s="37"/>
      <c r="E521" s="37"/>
      <c r="F521" s="37"/>
      <c r="G521" s="3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8.75" customHeight="1">
      <c r="A522" s="37"/>
      <c r="B522" s="83"/>
      <c r="C522" s="37"/>
      <c r="D522" s="37"/>
      <c r="E522" s="37"/>
      <c r="F522" s="37"/>
      <c r="G522" s="3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8.75" customHeight="1">
      <c r="A523" s="37"/>
      <c r="B523" s="83"/>
      <c r="C523" s="37"/>
      <c r="D523" s="37"/>
      <c r="E523" s="37"/>
      <c r="F523" s="37"/>
      <c r="G523" s="3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8.75" customHeight="1">
      <c r="A524" s="37"/>
      <c r="B524" s="83"/>
      <c r="C524" s="37"/>
      <c r="D524" s="37"/>
      <c r="E524" s="37"/>
      <c r="F524" s="37"/>
      <c r="G524" s="3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8.75" customHeight="1">
      <c r="A525" s="37"/>
      <c r="B525" s="83"/>
      <c r="C525" s="37"/>
      <c r="D525" s="37"/>
      <c r="E525" s="37"/>
      <c r="F525" s="37"/>
      <c r="G525" s="3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8.75" customHeight="1">
      <c r="A526" s="37"/>
      <c r="B526" s="83"/>
      <c r="C526" s="37"/>
      <c r="D526" s="37"/>
      <c r="E526" s="37"/>
      <c r="F526" s="37"/>
      <c r="G526" s="3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8.75" customHeight="1">
      <c r="A527" s="37"/>
      <c r="B527" s="83"/>
      <c r="C527" s="37"/>
      <c r="D527" s="37"/>
      <c r="E527" s="37"/>
      <c r="F527" s="37"/>
      <c r="G527" s="3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8.75" customHeight="1">
      <c r="A528" s="37"/>
      <c r="B528" s="83"/>
      <c r="C528" s="37"/>
      <c r="D528" s="37"/>
      <c r="E528" s="37"/>
      <c r="F528" s="37"/>
      <c r="G528" s="3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8.75" customHeight="1">
      <c r="A529" s="37"/>
      <c r="B529" s="83"/>
      <c r="C529" s="37"/>
      <c r="D529" s="37"/>
      <c r="E529" s="37"/>
      <c r="F529" s="37"/>
      <c r="G529" s="3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8.75" customHeight="1">
      <c r="A530" s="37"/>
      <c r="B530" s="83"/>
      <c r="C530" s="37"/>
      <c r="D530" s="37"/>
      <c r="E530" s="37"/>
      <c r="F530" s="37"/>
      <c r="G530" s="3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8.75" customHeight="1">
      <c r="A531" s="37"/>
      <c r="B531" s="83"/>
      <c r="C531" s="37"/>
      <c r="D531" s="37"/>
      <c r="E531" s="37"/>
      <c r="F531" s="37"/>
      <c r="G531" s="3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8.75" customHeight="1">
      <c r="A532" s="37"/>
      <c r="B532" s="83"/>
      <c r="C532" s="37"/>
      <c r="D532" s="37"/>
      <c r="E532" s="37"/>
      <c r="F532" s="37"/>
      <c r="G532" s="3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8.75" customHeight="1">
      <c r="A533" s="37"/>
      <c r="B533" s="83"/>
      <c r="C533" s="37"/>
      <c r="D533" s="37"/>
      <c r="E533" s="37"/>
      <c r="F533" s="37"/>
      <c r="G533" s="3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8.75" customHeight="1">
      <c r="A534" s="37"/>
      <c r="B534" s="83"/>
      <c r="C534" s="37"/>
      <c r="D534" s="37"/>
      <c r="E534" s="37"/>
      <c r="F534" s="37"/>
      <c r="G534" s="3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8.75" customHeight="1">
      <c r="A535" s="37"/>
      <c r="B535" s="83"/>
      <c r="C535" s="37"/>
      <c r="D535" s="37"/>
      <c r="E535" s="37"/>
      <c r="F535" s="37"/>
      <c r="G535" s="3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8.75" customHeight="1">
      <c r="A536" s="37"/>
      <c r="B536" s="83"/>
      <c r="C536" s="37"/>
      <c r="D536" s="37"/>
      <c r="E536" s="37"/>
      <c r="F536" s="37"/>
      <c r="G536" s="3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8.75" customHeight="1">
      <c r="A537" s="37"/>
      <c r="B537" s="83"/>
      <c r="C537" s="37"/>
      <c r="D537" s="37"/>
      <c r="E537" s="37"/>
      <c r="F537" s="37"/>
      <c r="G537" s="3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8.75" customHeight="1">
      <c r="A538" s="37"/>
      <c r="B538" s="83"/>
      <c r="C538" s="37"/>
      <c r="D538" s="37"/>
      <c r="E538" s="37"/>
      <c r="F538" s="37"/>
      <c r="G538" s="3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8.75" customHeight="1">
      <c r="A539" s="37"/>
      <c r="B539" s="83"/>
      <c r="C539" s="37"/>
      <c r="D539" s="37"/>
      <c r="E539" s="37"/>
      <c r="F539" s="37"/>
      <c r="G539" s="3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8.75" customHeight="1">
      <c r="A540" s="37"/>
      <c r="B540" s="83"/>
      <c r="C540" s="37"/>
      <c r="D540" s="37"/>
      <c r="E540" s="37"/>
      <c r="F540" s="37"/>
      <c r="G540" s="3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8.75" customHeight="1">
      <c r="A541" s="37"/>
      <c r="B541" s="83"/>
      <c r="C541" s="37"/>
      <c r="D541" s="37"/>
      <c r="E541" s="37"/>
      <c r="F541" s="37"/>
      <c r="G541" s="3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8.75" customHeight="1">
      <c r="A542" s="37"/>
      <c r="B542" s="83"/>
      <c r="C542" s="37"/>
      <c r="D542" s="37"/>
      <c r="E542" s="37"/>
      <c r="F542" s="37"/>
      <c r="G542" s="3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8.75" customHeight="1">
      <c r="A543" s="37"/>
      <c r="B543" s="83"/>
      <c r="C543" s="37"/>
      <c r="D543" s="37"/>
      <c r="E543" s="37"/>
      <c r="F543" s="37"/>
      <c r="G543" s="3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8.75" customHeight="1">
      <c r="A544" s="37"/>
      <c r="B544" s="83"/>
      <c r="C544" s="37"/>
      <c r="D544" s="37"/>
      <c r="E544" s="37"/>
      <c r="F544" s="37"/>
      <c r="G544" s="3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8.75" customHeight="1">
      <c r="A545" s="37"/>
      <c r="B545" s="83"/>
      <c r="C545" s="37"/>
      <c r="D545" s="37"/>
      <c r="E545" s="37"/>
      <c r="F545" s="37"/>
      <c r="G545" s="3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8.75" customHeight="1">
      <c r="A546" s="37"/>
      <c r="B546" s="83"/>
      <c r="C546" s="37"/>
      <c r="D546" s="37"/>
      <c r="E546" s="37"/>
      <c r="F546" s="37"/>
      <c r="G546" s="3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8.75" customHeight="1">
      <c r="A547" s="37"/>
      <c r="B547" s="83"/>
      <c r="C547" s="37"/>
      <c r="D547" s="37"/>
      <c r="E547" s="37"/>
      <c r="F547" s="37"/>
      <c r="G547" s="3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8.75" customHeight="1">
      <c r="A548" s="37"/>
      <c r="B548" s="83"/>
      <c r="C548" s="37"/>
      <c r="D548" s="37"/>
      <c r="E548" s="37"/>
      <c r="F548" s="37"/>
      <c r="G548" s="3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8.75" customHeight="1">
      <c r="A549" s="37"/>
      <c r="B549" s="83"/>
      <c r="C549" s="37"/>
      <c r="D549" s="37"/>
      <c r="E549" s="37"/>
      <c r="F549" s="37"/>
      <c r="G549" s="3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8.75" customHeight="1">
      <c r="A550" s="37"/>
      <c r="B550" s="83"/>
      <c r="C550" s="37"/>
      <c r="D550" s="37"/>
      <c r="E550" s="37"/>
      <c r="F550" s="37"/>
      <c r="G550" s="3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8.75" customHeight="1">
      <c r="A551" s="37"/>
      <c r="B551" s="83"/>
      <c r="C551" s="37"/>
      <c r="D551" s="37"/>
      <c r="E551" s="37"/>
      <c r="F551" s="37"/>
      <c r="G551" s="3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8.75" customHeight="1">
      <c r="A552" s="37"/>
      <c r="B552" s="83"/>
      <c r="C552" s="37"/>
      <c r="D552" s="37"/>
      <c r="E552" s="37"/>
      <c r="F552" s="37"/>
      <c r="G552" s="3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8.75" customHeight="1">
      <c r="A553" s="37"/>
      <c r="B553" s="83"/>
      <c r="C553" s="37"/>
      <c r="D553" s="37"/>
      <c r="E553" s="37"/>
      <c r="F553" s="37"/>
      <c r="G553" s="3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8.75" customHeight="1">
      <c r="A554" s="37"/>
      <c r="B554" s="83"/>
      <c r="C554" s="37"/>
      <c r="D554" s="37"/>
      <c r="E554" s="37"/>
      <c r="F554" s="37"/>
      <c r="G554" s="3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8.75" customHeight="1">
      <c r="A555" s="37"/>
      <c r="B555" s="83"/>
      <c r="C555" s="37"/>
      <c r="D555" s="37"/>
      <c r="E555" s="37"/>
      <c r="F555" s="37"/>
      <c r="G555" s="3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8.75" customHeight="1">
      <c r="A556" s="37"/>
      <c r="B556" s="83"/>
      <c r="C556" s="37"/>
      <c r="D556" s="37"/>
      <c r="E556" s="37"/>
      <c r="F556" s="37"/>
      <c r="G556" s="3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8.75" customHeight="1">
      <c r="A557" s="37"/>
      <c r="B557" s="83"/>
      <c r="C557" s="37"/>
      <c r="D557" s="37"/>
      <c r="E557" s="37"/>
      <c r="F557" s="37"/>
      <c r="G557" s="3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8.75" customHeight="1">
      <c r="A558" s="37"/>
      <c r="B558" s="83"/>
      <c r="C558" s="37"/>
      <c r="D558" s="37"/>
      <c r="E558" s="37"/>
      <c r="F558" s="37"/>
      <c r="G558" s="3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8.75" customHeight="1">
      <c r="A559" s="37"/>
      <c r="B559" s="83"/>
      <c r="C559" s="37"/>
      <c r="D559" s="37"/>
      <c r="E559" s="37"/>
      <c r="F559" s="37"/>
      <c r="G559" s="3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8.75" customHeight="1">
      <c r="A560" s="37"/>
      <c r="B560" s="83"/>
      <c r="C560" s="37"/>
      <c r="D560" s="37"/>
      <c r="E560" s="37"/>
      <c r="F560" s="37"/>
      <c r="G560" s="3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8.75" customHeight="1">
      <c r="A561" s="37"/>
      <c r="B561" s="83"/>
      <c r="C561" s="37"/>
      <c r="D561" s="37"/>
      <c r="E561" s="37"/>
      <c r="F561" s="37"/>
      <c r="G561" s="3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8.75" customHeight="1">
      <c r="A562" s="37"/>
      <c r="B562" s="83"/>
      <c r="C562" s="37"/>
      <c r="D562" s="37"/>
      <c r="E562" s="37"/>
      <c r="F562" s="37"/>
      <c r="G562" s="3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8.75" customHeight="1">
      <c r="A563" s="37"/>
      <c r="B563" s="83"/>
      <c r="C563" s="37"/>
      <c r="D563" s="37"/>
      <c r="E563" s="37"/>
      <c r="F563" s="37"/>
      <c r="G563" s="3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8.75" customHeight="1">
      <c r="A564" s="37"/>
      <c r="B564" s="83"/>
      <c r="C564" s="37"/>
      <c r="D564" s="37"/>
      <c r="E564" s="37"/>
      <c r="F564" s="37"/>
      <c r="G564" s="3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8.75" customHeight="1">
      <c r="A565" s="37"/>
      <c r="B565" s="83"/>
      <c r="C565" s="37"/>
      <c r="D565" s="37"/>
      <c r="E565" s="37"/>
      <c r="F565" s="37"/>
      <c r="G565" s="3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8.75" customHeight="1">
      <c r="A566" s="37"/>
      <c r="B566" s="83"/>
      <c r="C566" s="37"/>
      <c r="D566" s="37"/>
      <c r="E566" s="37"/>
      <c r="F566" s="37"/>
      <c r="G566" s="3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8.75" customHeight="1">
      <c r="A567" s="37"/>
      <c r="B567" s="83"/>
      <c r="C567" s="37"/>
      <c r="D567" s="37"/>
      <c r="E567" s="37"/>
      <c r="F567" s="37"/>
      <c r="G567" s="3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8.75" customHeight="1">
      <c r="A568" s="37"/>
      <c r="B568" s="83"/>
      <c r="C568" s="37"/>
      <c r="D568" s="37"/>
      <c r="E568" s="37"/>
      <c r="F568" s="37"/>
      <c r="G568" s="3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8.75" customHeight="1">
      <c r="A569" s="37"/>
      <c r="B569" s="83"/>
      <c r="C569" s="37"/>
      <c r="D569" s="37"/>
      <c r="E569" s="37"/>
      <c r="F569" s="37"/>
      <c r="G569" s="3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8.75" customHeight="1">
      <c r="A570" s="37"/>
      <c r="B570" s="83"/>
      <c r="C570" s="37"/>
      <c r="D570" s="37"/>
      <c r="E570" s="37"/>
      <c r="F570" s="37"/>
      <c r="G570" s="3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8.75" customHeight="1">
      <c r="A571" s="37"/>
      <c r="B571" s="83"/>
      <c r="C571" s="37"/>
      <c r="D571" s="37"/>
      <c r="E571" s="37"/>
      <c r="F571" s="37"/>
      <c r="G571" s="3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8.75" customHeight="1">
      <c r="A572" s="37"/>
      <c r="B572" s="83"/>
      <c r="C572" s="37"/>
      <c r="D572" s="37"/>
      <c r="E572" s="37"/>
      <c r="F572" s="37"/>
      <c r="G572" s="3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8.75" customHeight="1">
      <c r="A573" s="37"/>
      <c r="B573" s="83"/>
      <c r="C573" s="37"/>
      <c r="D573" s="37"/>
      <c r="E573" s="37"/>
      <c r="F573" s="37"/>
      <c r="G573" s="3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8.75" customHeight="1">
      <c r="A574" s="37"/>
      <c r="B574" s="83"/>
      <c r="C574" s="37"/>
      <c r="D574" s="37"/>
      <c r="E574" s="37"/>
      <c r="F574" s="37"/>
      <c r="G574" s="3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8.75" customHeight="1">
      <c r="A575" s="37"/>
      <c r="B575" s="83"/>
      <c r="C575" s="37"/>
      <c r="D575" s="37"/>
      <c r="E575" s="37"/>
      <c r="F575" s="37"/>
      <c r="G575" s="3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8.75" customHeight="1">
      <c r="A576" s="37"/>
      <c r="B576" s="83"/>
      <c r="C576" s="37"/>
      <c r="D576" s="37"/>
      <c r="E576" s="37"/>
      <c r="F576" s="37"/>
      <c r="G576" s="3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8.75" customHeight="1">
      <c r="A577" s="37"/>
      <c r="B577" s="83"/>
      <c r="C577" s="37"/>
      <c r="D577" s="37"/>
      <c r="E577" s="37"/>
      <c r="F577" s="37"/>
      <c r="G577" s="3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8.75" customHeight="1">
      <c r="A578" s="37"/>
      <c r="B578" s="83"/>
      <c r="C578" s="37"/>
      <c r="D578" s="37"/>
      <c r="E578" s="37"/>
      <c r="F578" s="37"/>
      <c r="G578" s="3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8.75" customHeight="1">
      <c r="A579" s="37"/>
      <c r="B579" s="83"/>
      <c r="C579" s="37"/>
      <c r="D579" s="37"/>
      <c r="E579" s="37"/>
      <c r="F579" s="37"/>
      <c r="G579" s="3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8.75" customHeight="1">
      <c r="A580" s="37"/>
      <c r="B580" s="83"/>
      <c r="C580" s="37"/>
      <c r="D580" s="37"/>
      <c r="E580" s="37"/>
      <c r="F580" s="37"/>
      <c r="G580" s="3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8.75" customHeight="1">
      <c r="A581" s="37"/>
      <c r="B581" s="83"/>
      <c r="C581" s="37"/>
      <c r="D581" s="37"/>
      <c r="E581" s="37"/>
      <c r="F581" s="37"/>
      <c r="G581" s="3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8.75" customHeight="1">
      <c r="A582" s="37"/>
      <c r="B582" s="83"/>
      <c r="C582" s="37"/>
      <c r="D582" s="37"/>
      <c r="E582" s="37"/>
      <c r="F582" s="37"/>
      <c r="G582" s="3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8.75" customHeight="1">
      <c r="A583" s="37"/>
      <c r="B583" s="83"/>
      <c r="C583" s="37"/>
      <c r="D583" s="37"/>
      <c r="E583" s="37"/>
      <c r="F583" s="37"/>
      <c r="G583" s="3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8.75" customHeight="1">
      <c r="A584" s="37"/>
      <c r="B584" s="83"/>
      <c r="C584" s="37"/>
      <c r="D584" s="37"/>
      <c r="E584" s="37"/>
      <c r="F584" s="37"/>
      <c r="G584" s="3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8.75" customHeight="1">
      <c r="A585" s="37"/>
      <c r="B585" s="83"/>
      <c r="C585" s="37"/>
      <c r="D585" s="37"/>
      <c r="E585" s="37"/>
      <c r="F585" s="37"/>
      <c r="G585" s="3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8.75" customHeight="1">
      <c r="A586" s="37"/>
      <c r="B586" s="83"/>
      <c r="C586" s="37"/>
      <c r="D586" s="37"/>
      <c r="E586" s="37"/>
      <c r="F586" s="37"/>
      <c r="G586" s="3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8.75" customHeight="1">
      <c r="A587" s="37"/>
      <c r="B587" s="83"/>
      <c r="C587" s="37"/>
      <c r="D587" s="37"/>
      <c r="E587" s="37"/>
      <c r="F587" s="37"/>
      <c r="G587" s="3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8.75" customHeight="1">
      <c r="A588" s="37"/>
      <c r="B588" s="83"/>
      <c r="C588" s="37"/>
      <c r="D588" s="37"/>
      <c r="E588" s="37"/>
      <c r="F588" s="37"/>
      <c r="G588" s="3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8.75" customHeight="1">
      <c r="A589" s="37"/>
      <c r="B589" s="83"/>
      <c r="C589" s="37"/>
      <c r="D589" s="37"/>
      <c r="E589" s="37"/>
      <c r="F589" s="37"/>
      <c r="G589" s="3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8.75" customHeight="1">
      <c r="A590" s="37"/>
      <c r="B590" s="83"/>
      <c r="C590" s="37"/>
      <c r="D590" s="37"/>
      <c r="E590" s="37"/>
      <c r="F590" s="37"/>
      <c r="G590" s="3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8.75" customHeight="1">
      <c r="A591" s="37"/>
      <c r="B591" s="83"/>
      <c r="C591" s="37"/>
      <c r="D591" s="37"/>
      <c r="E591" s="37"/>
      <c r="F591" s="37"/>
      <c r="G591" s="3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8.75" customHeight="1">
      <c r="A592" s="37"/>
      <c r="B592" s="83"/>
      <c r="C592" s="37"/>
      <c r="D592" s="37"/>
      <c r="E592" s="37"/>
      <c r="F592" s="37"/>
      <c r="G592" s="3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8.75" customHeight="1">
      <c r="A593" s="37"/>
      <c r="B593" s="83"/>
      <c r="C593" s="37"/>
      <c r="D593" s="37"/>
      <c r="E593" s="37"/>
      <c r="F593" s="37"/>
      <c r="G593" s="3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8.75" customHeight="1">
      <c r="A594" s="37"/>
      <c r="B594" s="83"/>
      <c r="C594" s="37"/>
      <c r="D594" s="37"/>
      <c r="E594" s="37"/>
      <c r="F594" s="37"/>
      <c r="G594" s="3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8.75" customHeight="1">
      <c r="A595" s="37"/>
      <c r="B595" s="83"/>
      <c r="C595" s="37"/>
      <c r="D595" s="37"/>
      <c r="E595" s="37"/>
      <c r="F595" s="37"/>
      <c r="G595" s="3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8.75" customHeight="1">
      <c r="A596" s="37"/>
      <c r="B596" s="83"/>
      <c r="C596" s="37"/>
      <c r="D596" s="37"/>
      <c r="E596" s="37"/>
      <c r="F596" s="37"/>
      <c r="G596" s="3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8.75" customHeight="1">
      <c r="A597" s="37"/>
      <c r="B597" s="83"/>
      <c r="C597" s="37"/>
      <c r="D597" s="37"/>
      <c r="E597" s="37"/>
      <c r="F597" s="37"/>
      <c r="G597" s="3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8.75" customHeight="1">
      <c r="A598" s="37"/>
      <c r="B598" s="83"/>
      <c r="C598" s="37"/>
      <c r="D598" s="37"/>
      <c r="E598" s="37"/>
      <c r="F598" s="37"/>
      <c r="G598" s="3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8.75" customHeight="1">
      <c r="A599" s="37"/>
      <c r="B599" s="83"/>
      <c r="C599" s="37"/>
      <c r="D599" s="37"/>
      <c r="E599" s="37"/>
      <c r="F599" s="37"/>
      <c r="G599" s="3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8.75" customHeight="1">
      <c r="A600" s="37"/>
      <c r="B600" s="83"/>
      <c r="C600" s="37"/>
      <c r="D600" s="37"/>
      <c r="E600" s="37"/>
      <c r="F600" s="37"/>
      <c r="G600" s="3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8.75" customHeight="1">
      <c r="A601" s="37"/>
      <c r="B601" s="83"/>
      <c r="C601" s="37"/>
      <c r="D601" s="37"/>
      <c r="E601" s="37"/>
      <c r="F601" s="37"/>
      <c r="G601" s="3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8.75" customHeight="1">
      <c r="A602" s="37"/>
      <c r="B602" s="83"/>
      <c r="C602" s="37"/>
      <c r="D602" s="37"/>
      <c r="E602" s="37"/>
      <c r="F602" s="37"/>
      <c r="G602" s="3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8.75" customHeight="1">
      <c r="A603" s="37"/>
      <c r="B603" s="83"/>
      <c r="C603" s="37"/>
      <c r="D603" s="37"/>
      <c r="E603" s="37"/>
      <c r="F603" s="37"/>
      <c r="G603" s="3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8.75" customHeight="1">
      <c r="A604" s="37"/>
      <c r="B604" s="83"/>
      <c r="C604" s="37"/>
      <c r="D604" s="37"/>
      <c r="E604" s="37"/>
      <c r="F604" s="37"/>
      <c r="G604" s="3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8.75" customHeight="1">
      <c r="A605" s="37"/>
      <c r="B605" s="83"/>
      <c r="C605" s="37"/>
      <c r="D605" s="37"/>
      <c r="E605" s="37"/>
      <c r="F605" s="37"/>
      <c r="G605" s="3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8.75" customHeight="1">
      <c r="A606" s="37"/>
      <c r="B606" s="83"/>
      <c r="C606" s="37"/>
      <c r="D606" s="37"/>
      <c r="E606" s="37"/>
      <c r="F606" s="37"/>
      <c r="G606" s="3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8.75" customHeight="1">
      <c r="A607" s="37"/>
      <c r="B607" s="83"/>
      <c r="C607" s="37"/>
      <c r="D607" s="37"/>
      <c r="E607" s="37"/>
      <c r="F607" s="37"/>
      <c r="G607" s="3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8.75" customHeight="1">
      <c r="A608" s="37"/>
      <c r="B608" s="83"/>
      <c r="C608" s="37"/>
      <c r="D608" s="37"/>
      <c r="E608" s="37"/>
      <c r="F608" s="37"/>
      <c r="G608" s="3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8.75" customHeight="1">
      <c r="A609" s="37"/>
      <c r="B609" s="83"/>
      <c r="C609" s="37"/>
      <c r="D609" s="37"/>
      <c r="E609" s="37"/>
      <c r="F609" s="37"/>
      <c r="G609" s="3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8.75" customHeight="1">
      <c r="A610" s="37"/>
      <c r="B610" s="83"/>
      <c r="C610" s="37"/>
      <c r="D610" s="37"/>
      <c r="E610" s="37"/>
      <c r="F610" s="37"/>
      <c r="G610" s="3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8.75" customHeight="1">
      <c r="A611" s="37"/>
      <c r="B611" s="83"/>
      <c r="C611" s="37"/>
      <c r="D611" s="37"/>
      <c r="E611" s="37"/>
      <c r="F611" s="37"/>
      <c r="G611" s="3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8.75" customHeight="1">
      <c r="A612" s="37"/>
      <c r="B612" s="83"/>
      <c r="C612" s="37"/>
      <c r="D612" s="37"/>
      <c r="E612" s="37"/>
      <c r="F612" s="37"/>
      <c r="G612" s="3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8.75" customHeight="1">
      <c r="A613" s="37"/>
      <c r="B613" s="83"/>
      <c r="C613" s="37"/>
      <c r="D613" s="37"/>
      <c r="E613" s="37"/>
      <c r="F613" s="37"/>
      <c r="G613" s="3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8.75" customHeight="1">
      <c r="A614" s="37"/>
      <c r="B614" s="83"/>
      <c r="C614" s="37"/>
      <c r="D614" s="37"/>
      <c r="E614" s="37"/>
      <c r="F614" s="37"/>
      <c r="G614" s="3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8.75" customHeight="1">
      <c r="A615" s="37"/>
      <c r="B615" s="83"/>
      <c r="C615" s="37"/>
      <c r="D615" s="37"/>
      <c r="E615" s="37"/>
      <c r="F615" s="37"/>
      <c r="G615" s="3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8.75" customHeight="1">
      <c r="A616" s="37"/>
      <c r="B616" s="83"/>
      <c r="C616" s="37"/>
      <c r="D616" s="37"/>
      <c r="E616" s="37"/>
      <c r="F616" s="37"/>
      <c r="G616" s="3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8.75" customHeight="1">
      <c r="A617" s="37"/>
      <c r="B617" s="83"/>
      <c r="C617" s="37"/>
      <c r="D617" s="37"/>
      <c r="E617" s="37"/>
      <c r="F617" s="37"/>
      <c r="G617" s="3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8.75" customHeight="1">
      <c r="A618" s="37"/>
      <c r="B618" s="83"/>
      <c r="C618" s="37"/>
      <c r="D618" s="37"/>
      <c r="E618" s="37"/>
      <c r="F618" s="37"/>
      <c r="G618" s="3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8.75" customHeight="1">
      <c r="A619" s="37"/>
      <c r="B619" s="83"/>
      <c r="C619" s="37"/>
      <c r="D619" s="37"/>
      <c r="E619" s="37"/>
      <c r="F619" s="37"/>
      <c r="G619" s="3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8.75" customHeight="1">
      <c r="A620" s="37"/>
      <c r="B620" s="83"/>
      <c r="C620" s="37"/>
      <c r="D620" s="37"/>
      <c r="E620" s="37"/>
      <c r="F620" s="37"/>
      <c r="G620" s="3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8.75" customHeight="1">
      <c r="A621" s="37"/>
      <c r="B621" s="83"/>
      <c r="C621" s="37"/>
      <c r="D621" s="37"/>
      <c r="E621" s="37"/>
      <c r="F621" s="37"/>
      <c r="G621" s="3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8.75" customHeight="1">
      <c r="A622" s="37"/>
      <c r="B622" s="83"/>
      <c r="C622" s="37"/>
      <c r="D622" s="37"/>
      <c r="E622" s="37"/>
      <c r="F622" s="37"/>
      <c r="G622" s="3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8.75" customHeight="1">
      <c r="A623" s="37"/>
      <c r="B623" s="83"/>
      <c r="C623" s="37"/>
      <c r="D623" s="37"/>
      <c r="E623" s="37"/>
      <c r="F623" s="37"/>
      <c r="G623" s="3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8.75" customHeight="1">
      <c r="A624" s="37"/>
      <c r="B624" s="83"/>
      <c r="C624" s="37"/>
      <c r="D624" s="37"/>
      <c r="E624" s="37"/>
      <c r="F624" s="37"/>
      <c r="G624" s="3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8.75" customHeight="1">
      <c r="A625" s="37"/>
      <c r="B625" s="83"/>
      <c r="C625" s="37"/>
      <c r="D625" s="37"/>
      <c r="E625" s="37"/>
      <c r="F625" s="37"/>
      <c r="G625" s="3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8.75" customHeight="1">
      <c r="A626" s="37"/>
      <c r="B626" s="83"/>
      <c r="C626" s="37"/>
      <c r="D626" s="37"/>
      <c r="E626" s="37"/>
      <c r="F626" s="37"/>
      <c r="G626" s="3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8.75" customHeight="1">
      <c r="A627" s="37"/>
      <c r="B627" s="83"/>
      <c r="C627" s="37"/>
      <c r="D627" s="37"/>
      <c r="E627" s="37"/>
      <c r="F627" s="37"/>
      <c r="G627" s="3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8.75" customHeight="1">
      <c r="A628" s="37"/>
      <c r="B628" s="83"/>
      <c r="C628" s="37"/>
      <c r="D628" s="37"/>
      <c r="E628" s="37"/>
      <c r="F628" s="37"/>
      <c r="G628" s="3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8.75" customHeight="1">
      <c r="A629" s="37"/>
      <c r="B629" s="83"/>
      <c r="C629" s="37"/>
      <c r="D629" s="37"/>
      <c r="E629" s="37"/>
      <c r="F629" s="37"/>
      <c r="G629" s="3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8.75" customHeight="1">
      <c r="A630" s="37"/>
      <c r="B630" s="83"/>
      <c r="C630" s="37"/>
      <c r="D630" s="37"/>
      <c r="E630" s="37"/>
      <c r="F630" s="37"/>
      <c r="G630" s="3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8.75" customHeight="1">
      <c r="A631" s="37"/>
      <c r="B631" s="83"/>
      <c r="C631" s="37"/>
      <c r="D631" s="37"/>
      <c r="E631" s="37"/>
      <c r="F631" s="37"/>
      <c r="G631" s="3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8.75" customHeight="1">
      <c r="A632" s="37"/>
      <c r="B632" s="83"/>
      <c r="C632" s="37"/>
      <c r="D632" s="37"/>
      <c r="E632" s="37"/>
      <c r="F632" s="37"/>
      <c r="G632" s="3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8.75" customHeight="1">
      <c r="A633" s="37"/>
      <c r="B633" s="83"/>
      <c r="C633" s="37"/>
      <c r="D633" s="37"/>
      <c r="E633" s="37"/>
      <c r="F633" s="37"/>
      <c r="G633" s="3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8.75" customHeight="1">
      <c r="A634" s="37"/>
      <c r="B634" s="83"/>
      <c r="C634" s="37"/>
      <c r="D634" s="37"/>
      <c r="E634" s="37"/>
      <c r="F634" s="37"/>
      <c r="G634" s="3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8.75" customHeight="1">
      <c r="A635" s="37"/>
      <c r="B635" s="83"/>
      <c r="C635" s="37"/>
      <c r="D635" s="37"/>
      <c r="E635" s="37"/>
      <c r="F635" s="37"/>
      <c r="G635" s="3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8.75" customHeight="1">
      <c r="A636" s="37"/>
      <c r="B636" s="83"/>
      <c r="C636" s="37"/>
      <c r="D636" s="37"/>
      <c r="E636" s="37"/>
      <c r="F636" s="37"/>
      <c r="G636" s="3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8.75" customHeight="1">
      <c r="A637" s="37"/>
      <c r="B637" s="83"/>
      <c r="C637" s="37"/>
      <c r="D637" s="37"/>
      <c r="E637" s="37"/>
      <c r="F637" s="37"/>
      <c r="G637" s="3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8.75" customHeight="1">
      <c r="A638" s="37"/>
      <c r="B638" s="83"/>
      <c r="C638" s="37"/>
      <c r="D638" s="37"/>
      <c r="E638" s="37"/>
      <c r="F638" s="37"/>
      <c r="G638" s="3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8.75" customHeight="1">
      <c r="A639" s="37"/>
      <c r="B639" s="83"/>
      <c r="C639" s="37"/>
      <c r="D639" s="37"/>
      <c r="E639" s="37"/>
      <c r="F639" s="37"/>
      <c r="G639" s="3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8.75" customHeight="1">
      <c r="A640" s="37"/>
      <c r="B640" s="83"/>
      <c r="C640" s="37"/>
      <c r="D640" s="37"/>
      <c r="E640" s="37"/>
      <c r="F640" s="37"/>
      <c r="G640" s="3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8.75" customHeight="1">
      <c r="A641" s="37"/>
      <c r="B641" s="83"/>
      <c r="C641" s="37"/>
      <c r="D641" s="37"/>
      <c r="E641" s="37"/>
      <c r="F641" s="37"/>
      <c r="G641" s="3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8.75" customHeight="1">
      <c r="A642" s="37"/>
      <c r="B642" s="83"/>
      <c r="C642" s="37"/>
      <c r="D642" s="37"/>
      <c r="E642" s="37"/>
      <c r="F642" s="37"/>
      <c r="G642" s="3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8.75" customHeight="1">
      <c r="A643" s="37"/>
      <c r="B643" s="83"/>
      <c r="C643" s="37"/>
      <c r="D643" s="37"/>
      <c r="E643" s="37"/>
      <c r="F643" s="37"/>
      <c r="G643" s="3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8.75" customHeight="1">
      <c r="A644" s="37"/>
      <c r="B644" s="83"/>
      <c r="C644" s="37"/>
      <c r="D644" s="37"/>
      <c r="E644" s="37"/>
      <c r="F644" s="37"/>
      <c r="G644" s="3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8.75" customHeight="1">
      <c r="A645" s="37"/>
      <c r="B645" s="83"/>
      <c r="C645" s="37"/>
      <c r="D645" s="37"/>
      <c r="E645" s="37"/>
      <c r="F645" s="37"/>
      <c r="G645" s="3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8.75" customHeight="1">
      <c r="A646" s="37"/>
      <c r="B646" s="83"/>
      <c r="C646" s="37"/>
      <c r="D646" s="37"/>
      <c r="E646" s="37"/>
      <c r="F646" s="37"/>
      <c r="G646" s="3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8.75" customHeight="1">
      <c r="A647" s="37"/>
      <c r="B647" s="83"/>
      <c r="C647" s="37"/>
      <c r="D647" s="37"/>
      <c r="E647" s="37"/>
      <c r="F647" s="37"/>
      <c r="G647" s="3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8.75" customHeight="1">
      <c r="A648" s="37"/>
      <c r="B648" s="83"/>
      <c r="C648" s="37"/>
      <c r="D648" s="37"/>
      <c r="E648" s="37"/>
      <c r="F648" s="37"/>
      <c r="G648" s="3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8.75" customHeight="1">
      <c r="A649" s="37"/>
      <c r="B649" s="83"/>
      <c r="C649" s="37"/>
      <c r="D649" s="37"/>
      <c r="E649" s="37"/>
      <c r="F649" s="37"/>
      <c r="G649" s="3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8.75" customHeight="1">
      <c r="A650" s="37"/>
      <c r="B650" s="83"/>
      <c r="C650" s="37"/>
      <c r="D650" s="37"/>
      <c r="E650" s="37"/>
      <c r="F650" s="37"/>
      <c r="G650" s="3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8.75" customHeight="1">
      <c r="A651" s="37"/>
      <c r="B651" s="83"/>
      <c r="C651" s="37"/>
      <c r="D651" s="37"/>
      <c r="E651" s="37"/>
      <c r="F651" s="37"/>
      <c r="G651" s="3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8.75" customHeight="1">
      <c r="A652" s="37"/>
      <c r="B652" s="83"/>
      <c r="C652" s="37"/>
      <c r="D652" s="37"/>
      <c r="E652" s="37"/>
      <c r="F652" s="37"/>
      <c r="G652" s="3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8.75" customHeight="1">
      <c r="A653" s="37"/>
      <c r="B653" s="83"/>
      <c r="C653" s="37"/>
      <c r="D653" s="37"/>
      <c r="E653" s="37"/>
      <c r="F653" s="37"/>
      <c r="G653" s="3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8.75" customHeight="1">
      <c r="A654" s="37"/>
      <c r="B654" s="83"/>
      <c r="C654" s="37"/>
      <c r="D654" s="37"/>
      <c r="E654" s="37"/>
      <c r="F654" s="37"/>
      <c r="G654" s="3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8.75" customHeight="1">
      <c r="A655" s="37"/>
      <c r="B655" s="83"/>
      <c r="C655" s="37"/>
      <c r="D655" s="37"/>
      <c r="E655" s="37"/>
      <c r="F655" s="37"/>
      <c r="G655" s="3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8.75" customHeight="1">
      <c r="A656" s="37"/>
      <c r="B656" s="83"/>
      <c r="C656" s="37"/>
      <c r="D656" s="37"/>
      <c r="E656" s="37"/>
      <c r="F656" s="37"/>
      <c r="G656" s="3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8.75" customHeight="1">
      <c r="A657" s="37"/>
      <c r="B657" s="83"/>
      <c r="C657" s="37"/>
      <c r="D657" s="37"/>
      <c r="E657" s="37"/>
      <c r="F657" s="37"/>
      <c r="G657" s="3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8.75" customHeight="1">
      <c r="A658" s="37"/>
      <c r="B658" s="83"/>
      <c r="C658" s="37"/>
      <c r="D658" s="37"/>
      <c r="E658" s="37"/>
      <c r="F658" s="37"/>
      <c r="G658" s="3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8.75" customHeight="1">
      <c r="A659" s="37"/>
      <c r="B659" s="83"/>
      <c r="C659" s="37"/>
      <c r="D659" s="37"/>
      <c r="E659" s="37"/>
      <c r="F659" s="37"/>
      <c r="G659" s="3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8.75" customHeight="1">
      <c r="A660" s="37"/>
      <c r="B660" s="83"/>
      <c r="C660" s="37"/>
      <c r="D660" s="37"/>
      <c r="E660" s="37"/>
      <c r="F660" s="37"/>
      <c r="G660" s="3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8.75" customHeight="1">
      <c r="A661" s="37"/>
      <c r="B661" s="83"/>
      <c r="C661" s="37"/>
      <c r="D661" s="37"/>
      <c r="E661" s="37"/>
      <c r="F661" s="37"/>
      <c r="G661" s="3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8.75" customHeight="1">
      <c r="A662" s="37"/>
      <c r="B662" s="83"/>
      <c r="C662" s="37"/>
      <c r="D662" s="37"/>
      <c r="E662" s="37"/>
      <c r="F662" s="37"/>
      <c r="G662" s="3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8.75" customHeight="1">
      <c r="A663" s="37"/>
      <c r="B663" s="83"/>
      <c r="C663" s="37"/>
      <c r="D663" s="37"/>
      <c r="E663" s="37"/>
      <c r="F663" s="37"/>
      <c r="G663" s="3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8.75" customHeight="1">
      <c r="A664" s="37"/>
      <c r="B664" s="83"/>
      <c r="C664" s="37"/>
      <c r="D664" s="37"/>
      <c r="E664" s="37"/>
      <c r="F664" s="37"/>
      <c r="G664" s="3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8.75" customHeight="1">
      <c r="A665" s="37"/>
      <c r="B665" s="83"/>
      <c r="C665" s="37"/>
      <c r="D665" s="37"/>
      <c r="E665" s="37"/>
      <c r="F665" s="37"/>
      <c r="G665" s="3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8.75" customHeight="1">
      <c r="A666" s="37"/>
      <c r="B666" s="83"/>
      <c r="C666" s="37"/>
      <c r="D666" s="37"/>
      <c r="E666" s="37"/>
      <c r="F666" s="37"/>
      <c r="G666" s="3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8.75" customHeight="1">
      <c r="A667" s="37"/>
      <c r="B667" s="83"/>
      <c r="C667" s="37"/>
      <c r="D667" s="37"/>
      <c r="E667" s="37"/>
      <c r="F667" s="37"/>
      <c r="G667" s="3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8.75" customHeight="1">
      <c r="A668" s="37"/>
      <c r="B668" s="83"/>
      <c r="C668" s="37"/>
      <c r="D668" s="37"/>
      <c r="E668" s="37"/>
      <c r="F668" s="37"/>
      <c r="G668" s="3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8.75" customHeight="1">
      <c r="A669" s="37"/>
      <c r="B669" s="83"/>
      <c r="C669" s="37"/>
      <c r="D669" s="37"/>
      <c r="E669" s="37"/>
      <c r="F669" s="37"/>
      <c r="G669" s="3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8.75" customHeight="1">
      <c r="A670" s="37"/>
      <c r="B670" s="83"/>
      <c r="C670" s="37"/>
      <c r="D670" s="37"/>
      <c r="E670" s="37"/>
      <c r="F670" s="37"/>
      <c r="G670" s="3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8.75" customHeight="1">
      <c r="A671" s="37"/>
      <c r="B671" s="83"/>
      <c r="C671" s="37"/>
      <c r="D671" s="37"/>
      <c r="E671" s="37"/>
      <c r="F671" s="37"/>
      <c r="G671" s="3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8.75" customHeight="1">
      <c r="A672" s="37"/>
      <c r="B672" s="83"/>
      <c r="C672" s="37"/>
      <c r="D672" s="37"/>
      <c r="E672" s="37"/>
      <c r="F672" s="37"/>
      <c r="G672" s="3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8.75" customHeight="1">
      <c r="A673" s="37"/>
      <c r="B673" s="83"/>
      <c r="C673" s="37"/>
      <c r="D673" s="37"/>
      <c r="E673" s="37"/>
      <c r="F673" s="37"/>
      <c r="G673" s="3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8.75" customHeight="1">
      <c r="A674" s="37"/>
      <c r="B674" s="83"/>
      <c r="C674" s="37"/>
      <c r="D674" s="37"/>
      <c r="E674" s="37"/>
      <c r="F674" s="37"/>
      <c r="G674" s="3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8.75" customHeight="1">
      <c r="A675" s="37"/>
      <c r="B675" s="83"/>
      <c r="C675" s="37"/>
      <c r="D675" s="37"/>
      <c r="E675" s="37"/>
      <c r="F675" s="37"/>
      <c r="G675" s="3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8.75" customHeight="1">
      <c r="A676" s="37"/>
      <c r="B676" s="83"/>
      <c r="C676" s="37"/>
      <c r="D676" s="37"/>
      <c r="E676" s="37"/>
      <c r="F676" s="37"/>
      <c r="G676" s="3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8.75" customHeight="1">
      <c r="A677" s="37"/>
      <c r="B677" s="83"/>
      <c r="C677" s="37"/>
      <c r="D677" s="37"/>
      <c r="E677" s="37"/>
      <c r="F677" s="37"/>
      <c r="G677" s="3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8.75" customHeight="1">
      <c r="A678" s="37"/>
      <c r="B678" s="83"/>
      <c r="C678" s="37"/>
      <c r="D678" s="37"/>
      <c r="E678" s="37"/>
      <c r="F678" s="37"/>
      <c r="G678" s="3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8.75" customHeight="1">
      <c r="A679" s="37"/>
      <c r="B679" s="83"/>
      <c r="C679" s="37"/>
      <c r="D679" s="37"/>
      <c r="E679" s="37"/>
      <c r="F679" s="37"/>
      <c r="G679" s="3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8.75" customHeight="1">
      <c r="A680" s="37"/>
      <c r="B680" s="83"/>
      <c r="C680" s="37"/>
      <c r="D680" s="37"/>
      <c r="E680" s="37"/>
      <c r="F680" s="37"/>
      <c r="G680" s="3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8.75" customHeight="1">
      <c r="A681" s="37"/>
      <c r="B681" s="83"/>
      <c r="C681" s="37"/>
      <c r="D681" s="37"/>
      <c r="E681" s="37"/>
      <c r="F681" s="37"/>
      <c r="G681" s="3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8.75" customHeight="1">
      <c r="A682" s="37"/>
      <c r="B682" s="83"/>
      <c r="C682" s="37"/>
      <c r="D682" s="37"/>
      <c r="E682" s="37"/>
      <c r="F682" s="37"/>
      <c r="G682" s="3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8.75" customHeight="1">
      <c r="A683" s="37"/>
      <c r="B683" s="83"/>
      <c r="C683" s="37"/>
      <c r="D683" s="37"/>
      <c r="E683" s="37"/>
      <c r="F683" s="37"/>
      <c r="G683" s="3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8.75" customHeight="1">
      <c r="A684" s="37"/>
      <c r="B684" s="83"/>
      <c r="C684" s="37"/>
      <c r="D684" s="37"/>
      <c r="E684" s="37"/>
      <c r="F684" s="37"/>
      <c r="G684" s="3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8.75" customHeight="1">
      <c r="A685" s="37"/>
      <c r="B685" s="83"/>
      <c r="C685" s="37"/>
      <c r="D685" s="37"/>
      <c r="E685" s="37"/>
      <c r="F685" s="37"/>
      <c r="G685" s="3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8.75" customHeight="1">
      <c r="A686" s="37"/>
      <c r="B686" s="83"/>
      <c r="C686" s="37"/>
      <c r="D686" s="37"/>
      <c r="E686" s="37"/>
      <c r="F686" s="37"/>
      <c r="G686" s="3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8.75" customHeight="1">
      <c r="A687" s="37"/>
      <c r="B687" s="83"/>
      <c r="C687" s="37"/>
      <c r="D687" s="37"/>
      <c r="E687" s="37"/>
      <c r="F687" s="37"/>
      <c r="G687" s="3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8.75" customHeight="1">
      <c r="A688" s="37"/>
      <c r="B688" s="83"/>
      <c r="C688" s="37"/>
      <c r="D688" s="37"/>
      <c r="E688" s="37"/>
      <c r="F688" s="37"/>
      <c r="G688" s="3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8.75" customHeight="1">
      <c r="A689" s="37"/>
      <c r="B689" s="83"/>
      <c r="C689" s="37"/>
      <c r="D689" s="37"/>
      <c r="E689" s="37"/>
      <c r="F689" s="37"/>
      <c r="G689" s="3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8.75" customHeight="1">
      <c r="A690" s="37"/>
      <c r="B690" s="83"/>
      <c r="C690" s="37"/>
      <c r="D690" s="37"/>
      <c r="E690" s="37"/>
      <c r="F690" s="37"/>
      <c r="G690" s="3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8.75" customHeight="1">
      <c r="A691" s="37"/>
      <c r="B691" s="83"/>
      <c r="C691" s="37"/>
      <c r="D691" s="37"/>
      <c r="E691" s="37"/>
      <c r="F691" s="37"/>
      <c r="G691" s="3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8.75" customHeight="1">
      <c r="A692" s="37"/>
      <c r="B692" s="83"/>
      <c r="C692" s="37"/>
      <c r="D692" s="37"/>
      <c r="E692" s="37"/>
      <c r="F692" s="37"/>
      <c r="G692" s="3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8.75" customHeight="1">
      <c r="A693" s="37"/>
      <c r="B693" s="83"/>
      <c r="C693" s="37"/>
      <c r="D693" s="37"/>
      <c r="E693" s="37"/>
      <c r="F693" s="37"/>
      <c r="G693" s="3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8.75" customHeight="1">
      <c r="A694" s="37"/>
      <c r="B694" s="83"/>
      <c r="C694" s="37"/>
      <c r="D694" s="37"/>
      <c r="E694" s="37"/>
      <c r="F694" s="37"/>
      <c r="G694" s="3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8.75" customHeight="1">
      <c r="A695" s="37"/>
      <c r="B695" s="83"/>
      <c r="C695" s="37"/>
      <c r="D695" s="37"/>
      <c r="E695" s="37"/>
      <c r="F695" s="37"/>
      <c r="G695" s="3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8.75" customHeight="1">
      <c r="A696" s="37"/>
      <c r="B696" s="83"/>
      <c r="C696" s="37"/>
      <c r="D696" s="37"/>
      <c r="E696" s="37"/>
      <c r="F696" s="37"/>
      <c r="G696" s="3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8.75" customHeight="1">
      <c r="A697" s="37"/>
      <c r="B697" s="83"/>
      <c r="C697" s="37"/>
      <c r="D697" s="37"/>
      <c r="E697" s="37"/>
      <c r="F697" s="37"/>
      <c r="G697" s="3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8.75" customHeight="1">
      <c r="A698" s="37"/>
      <c r="B698" s="83"/>
      <c r="C698" s="37"/>
      <c r="D698" s="37"/>
      <c r="E698" s="37"/>
      <c r="F698" s="37"/>
      <c r="G698" s="3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8.75" customHeight="1">
      <c r="A699" s="37"/>
      <c r="B699" s="83"/>
      <c r="C699" s="37"/>
      <c r="D699" s="37"/>
      <c r="E699" s="37"/>
      <c r="F699" s="37"/>
      <c r="G699" s="3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8.75" customHeight="1">
      <c r="A700" s="37"/>
      <c r="B700" s="83"/>
      <c r="C700" s="37"/>
      <c r="D700" s="37"/>
      <c r="E700" s="37"/>
      <c r="F700" s="37"/>
      <c r="G700" s="3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8.75" customHeight="1">
      <c r="A701" s="37"/>
      <c r="B701" s="83"/>
      <c r="C701" s="37"/>
      <c r="D701" s="37"/>
      <c r="E701" s="37"/>
      <c r="F701" s="37"/>
      <c r="G701" s="3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8.75" customHeight="1">
      <c r="A702" s="37"/>
      <c r="B702" s="83"/>
      <c r="C702" s="37"/>
      <c r="D702" s="37"/>
      <c r="E702" s="37"/>
      <c r="F702" s="37"/>
      <c r="G702" s="3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8.75" customHeight="1">
      <c r="A703" s="37"/>
      <c r="B703" s="83"/>
      <c r="C703" s="37"/>
      <c r="D703" s="37"/>
      <c r="E703" s="37"/>
      <c r="F703" s="37"/>
      <c r="G703" s="3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8.75" customHeight="1">
      <c r="A704" s="37"/>
      <c r="B704" s="83"/>
      <c r="C704" s="37"/>
      <c r="D704" s="37"/>
      <c r="E704" s="37"/>
      <c r="F704" s="37"/>
      <c r="G704" s="3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8.75" customHeight="1">
      <c r="A705" s="37"/>
      <c r="B705" s="83"/>
      <c r="C705" s="37"/>
      <c r="D705" s="37"/>
      <c r="E705" s="37"/>
      <c r="F705" s="37"/>
      <c r="G705" s="3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8.75" customHeight="1">
      <c r="A706" s="37"/>
      <c r="B706" s="83"/>
      <c r="C706" s="37"/>
      <c r="D706" s="37"/>
      <c r="E706" s="37"/>
      <c r="F706" s="37"/>
      <c r="G706" s="3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8.75" customHeight="1">
      <c r="A707" s="37"/>
      <c r="B707" s="83"/>
      <c r="C707" s="37"/>
      <c r="D707" s="37"/>
      <c r="E707" s="37"/>
      <c r="F707" s="37"/>
      <c r="G707" s="3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8.75" customHeight="1">
      <c r="A708" s="37"/>
      <c r="B708" s="83"/>
      <c r="C708" s="37"/>
      <c r="D708" s="37"/>
      <c r="E708" s="37"/>
      <c r="F708" s="37"/>
      <c r="G708" s="3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8.75" customHeight="1">
      <c r="A709" s="37"/>
      <c r="B709" s="83"/>
      <c r="C709" s="37"/>
      <c r="D709" s="37"/>
      <c r="E709" s="37"/>
      <c r="F709" s="37"/>
      <c r="G709" s="3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8.75" customHeight="1">
      <c r="A710" s="37"/>
      <c r="B710" s="83"/>
      <c r="C710" s="37"/>
      <c r="D710" s="37"/>
      <c r="E710" s="37"/>
      <c r="F710" s="37"/>
      <c r="G710" s="3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8.75" customHeight="1">
      <c r="A711" s="37"/>
      <c r="B711" s="83"/>
      <c r="C711" s="37"/>
      <c r="D711" s="37"/>
      <c r="E711" s="37"/>
      <c r="F711" s="37"/>
      <c r="G711" s="3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8.75" customHeight="1">
      <c r="A712" s="37"/>
      <c r="B712" s="83"/>
      <c r="C712" s="37"/>
      <c r="D712" s="37"/>
      <c r="E712" s="37"/>
      <c r="F712" s="37"/>
      <c r="G712" s="3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8.75" customHeight="1">
      <c r="A713" s="37"/>
      <c r="B713" s="83"/>
      <c r="C713" s="37"/>
      <c r="D713" s="37"/>
      <c r="E713" s="37"/>
      <c r="F713" s="37"/>
      <c r="G713" s="3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8.75" customHeight="1">
      <c r="A714" s="37"/>
      <c r="B714" s="83"/>
      <c r="C714" s="37"/>
      <c r="D714" s="37"/>
      <c r="E714" s="37"/>
      <c r="F714" s="37"/>
      <c r="G714" s="3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8.75" customHeight="1">
      <c r="A715" s="37"/>
      <c r="B715" s="83"/>
      <c r="C715" s="37"/>
      <c r="D715" s="37"/>
      <c r="E715" s="37"/>
      <c r="F715" s="37"/>
      <c r="G715" s="3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8.75" customHeight="1">
      <c r="A716" s="37"/>
      <c r="B716" s="83"/>
      <c r="C716" s="37"/>
      <c r="D716" s="37"/>
      <c r="E716" s="37"/>
      <c r="F716" s="37"/>
      <c r="G716" s="3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8.75" customHeight="1">
      <c r="A717" s="37"/>
      <c r="B717" s="83"/>
      <c r="C717" s="37"/>
      <c r="D717" s="37"/>
      <c r="E717" s="37"/>
      <c r="F717" s="37"/>
      <c r="G717" s="3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8.75" customHeight="1">
      <c r="A718" s="37"/>
      <c r="B718" s="83"/>
      <c r="C718" s="37"/>
      <c r="D718" s="37"/>
      <c r="E718" s="37"/>
      <c r="F718" s="37"/>
      <c r="G718" s="3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8.75" customHeight="1">
      <c r="A719" s="37"/>
      <c r="B719" s="83"/>
      <c r="C719" s="37"/>
      <c r="D719" s="37"/>
      <c r="E719" s="37"/>
      <c r="F719" s="37"/>
      <c r="G719" s="3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8.75" customHeight="1">
      <c r="A720" s="37"/>
      <c r="B720" s="83"/>
      <c r="C720" s="37"/>
      <c r="D720" s="37"/>
      <c r="E720" s="37"/>
      <c r="F720" s="37"/>
      <c r="G720" s="3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8.75" customHeight="1">
      <c r="A721" s="37"/>
      <c r="B721" s="83"/>
      <c r="C721" s="37"/>
      <c r="D721" s="37"/>
      <c r="E721" s="37"/>
      <c r="F721" s="37"/>
      <c r="G721" s="3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8.75" customHeight="1">
      <c r="A722" s="37"/>
      <c r="B722" s="83"/>
      <c r="C722" s="37"/>
      <c r="D722" s="37"/>
      <c r="E722" s="37"/>
      <c r="F722" s="37"/>
      <c r="G722" s="3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8.75" customHeight="1">
      <c r="A723" s="37"/>
      <c r="B723" s="83"/>
      <c r="C723" s="37"/>
      <c r="D723" s="37"/>
      <c r="E723" s="37"/>
      <c r="F723" s="37"/>
      <c r="G723" s="3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8.75" customHeight="1">
      <c r="A724" s="37"/>
      <c r="B724" s="83"/>
      <c r="C724" s="37"/>
      <c r="D724" s="37"/>
      <c r="E724" s="37"/>
      <c r="F724" s="37"/>
      <c r="G724" s="3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8.75" customHeight="1">
      <c r="A725" s="37"/>
      <c r="B725" s="83"/>
      <c r="C725" s="37"/>
      <c r="D725" s="37"/>
      <c r="E725" s="37"/>
      <c r="F725" s="37"/>
      <c r="G725" s="3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8.75" customHeight="1">
      <c r="A726" s="37"/>
      <c r="B726" s="83"/>
      <c r="C726" s="37"/>
      <c r="D726" s="37"/>
      <c r="E726" s="37"/>
      <c r="F726" s="37"/>
      <c r="G726" s="3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8.75" customHeight="1">
      <c r="A727" s="37"/>
      <c r="B727" s="83"/>
      <c r="C727" s="37"/>
      <c r="D727" s="37"/>
      <c r="E727" s="37"/>
      <c r="F727" s="37"/>
      <c r="G727" s="3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8.75" customHeight="1">
      <c r="A728" s="37"/>
      <c r="B728" s="83"/>
      <c r="C728" s="37"/>
      <c r="D728" s="37"/>
      <c r="E728" s="37"/>
      <c r="F728" s="37"/>
      <c r="G728" s="3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8.75" customHeight="1">
      <c r="A729" s="37"/>
      <c r="B729" s="83"/>
      <c r="C729" s="37"/>
      <c r="D729" s="37"/>
      <c r="E729" s="37"/>
      <c r="F729" s="37"/>
      <c r="G729" s="3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8.75" customHeight="1">
      <c r="A730" s="37"/>
      <c r="B730" s="83"/>
      <c r="C730" s="37"/>
      <c r="D730" s="37"/>
      <c r="E730" s="37"/>
      <c r="F730" s="37"/>
      <c r="G730" s="3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8.75" customHeight="1">
      <c r="A731" s="37"/>
      <c r="B731" s="83"/>
      <c r="C731" s="37"/>
      <c r="D731" s="37"/>
      <c r="E731" s="37"/>
      <c r="F731" s="37"/>
      <c r="G731" s="3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8.75" customHeight="1">
      <c r="A732" s="37"/>
      <c r="B732" s="83"/>
      <c r="C732" s="37"/>
      <c r="D732" s="37"/>
      <c r="E732" s="37"/>
      <c r="F732" s="37"/>
      <c r="G732" s="3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8.75" customHeight="1">
      <c r="A733" s="37"/>
      <c r="B733" s="83"/>
      <c r="C733" s="37"/>
      <c r="D733" s="37"/>
      <c r="E733" s="37"/>
      <c r="F733" s="37"/>
      <c r="G733" s="3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8.75" customHeight="1">
      <c r="A734" s="37"/>
      <c r="B734" s="83"/>
      <c r="C734" s="37"/>
      <c r="D734" s="37"/>
      <c r="E734" s="37"/>
      <c r="F734" s="37"/>
      <c r="G734" s="3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8.75" customHeight="1">
      <c r="A735" s="37"/>
      <c r="B735" s="83"/>
      <c r="C735" s="37"/>
      <c r="D735" s="37"/>
      <c r="E735" s="37"/>
      <c r="F735" s="37"/>
      <c r="G735" s="3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8.75" customHeight="1">
      <c r="A736" s="37"/>
      <c r="B736" s="83"/>
      <c r="C736" s="37"/>
      <c r="D736" s="37"/>
      <c r="E736" s="37"/>
      <c r="F736" s="37"/>
      <c r="G736" s="3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8.75" customHeight="1">
      <c r="A737" s="37"/>
      <c r="B737" s="83"/>
      <c r="C737" s="37"/>
      <c r="D737" s="37"/>
      <c r="E737" s="37"/>
      <c r="F737" s="37"/>
      <c r="G737" s="3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8.75" customHeight="1">
      <c r="A738" s="37"/>
      <c r="B738" s="83"/>
      <c r="C738" s="37"/>
      <c r="D738" s="37"/>
      <c r="E738" s="37"/>
      <c r="F738" s="37"/>
      <c r="G738" s="3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8.75" customHeight="1">
      <c r="A739" s="37"/>
      <c r="B739" s="83"/>
      <c r="C739" s="37"/>
      <c r="D739" s="37"/>
      <c r="E739" s="37"/>
      <c r="F739" s="37"/>
      <c r="G739" s="3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8.75" customHeight="1">
      <c r="A740" s="37"/>
      <c r="B740" s="83"/>
      <c r="C740" s="37"/>
      <c r="D740" s="37"/>
      <c r="E740" s="37"/>
      <c r="F740" s="37"/>
      <c r="G740" s="3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8.75" customHeight="1">
      <c r="A741" s="37"/>
      <c r="B741" s="83"/>
      <c r="C741" s="37"/>
      <c r="D741" s="37"/>
      <c r="E741" s="37"/>
      <c r="F741" s="37"/>
      <c r="G741" s="3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8.75" customHeight="1">
      <c r="A742" s="37"/>
      <c r="B742" s="83"/>
      <c r="C742" s="37"/>
      <c r="D742" s="37"/>
      <c r="E742" s="37"/>
      <c r="F742" s="37"/>
      <c r="G742" s="3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8.75" customHeight="1">
      <c r="A743" s="37"/>
      <c r="B743" s="83"/>
      <c r="C743" s="37"/>
      <c r="D743" s="37"/>
      <c r="E743" s="37"/>
      <c r="F743" s="37"/>
      <c r="G743" s="3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8.75" customHeight="1">
      <c r="A744" s="37"/>
      <c r="B744" s="83"/>
      <c r="C744" s="37"/>
      <c r="D744" s="37"/>
      <c r="E744" s="37"/>
      <c r="F744" s="37"/>
      <c r="G744" s="3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8.75" customHeight="1">
      <c r="A745" s="37"/>
      <c r="B745" s="83"/>
      <c r="C745" s="37"/>
      <c r="D745" s="37"/>
      <c r="E745" s="37"/>
      <c r="F745" s="37"/>
      <c r="G745" s="3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8.75" customHeight="1">
      <c r="A746" s="37"/>
      <c r="B746" s="83"/>
      <c r="C746" s="37"/>
      <c r="D746" s="37"/>
      <c r="E746" s="37"/>
      <c r="F746" s="37"/>
      <c r="G746" s="3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8.75" customHeight="1">
      <c r="A747" s="37"/>
      <c r="B747" s="83"/>
      <c r="C747" s="37"/>
      <c r="D747" s="37"/>
      <c r="E747" s="37"/>
      <c r="F747" s="37"/>
      <c r="G747" s="3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8.75" customHeight="1">
      <c r="A748" s="37"/>
      <c r="B748" s="83"/>
      <c r="C748" s="37"/>
      <c r="D748" s="37"/>
      <c r="E748" s="37"/>
      <c r="F748" s="37"/>
      <c r="G748" s="3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8.75" customHeight="1">
      <c r="A749" s="37"/>
      <c r="B749" s="83"/>
      <c r="C749" s="37"/>
      <c r="D749" s="37"/>
      <c r="E749" s="37"/>
      <c r="F749" s="37"/>
      <c r="G749" s="3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8.75" customHeight="1">
      <c r="A750" s="37"/>
      <c r="B750" s="83"/>
      <c r="C750" s="37"/>
      <c r="D750" s="37"/>
      <c r="E750" s="37"/>
      <c r="F750" s="37"/>
      <c r="G750" s="3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8.75" customHeight="1">
      <c r="A751" s="37"/>
      <c r="B751" s="83"/>
      <c r="C751" s="37"/>
      <c r="D751" s="37"/>
      <c r="E751" s="37"/>
      <c r="F751" s="37"/>
      <c r="G751" s="3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8.75" customHeight="1">
      <c r="A752" s="37"/>
      <c r="B752" s="83"/>
      <c r="C752" s="37"/>
      <c r="D752" s="37"/>
      <c r="E752" s="37"/>
      <c r="F752" s="37"/>
      <c r="G752" s="3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8.75" customHeight="1">
      <c r="A753" s="37"/>
      <c r="B753" s="83"/>
      <c r="C753" s="37"/>
      <c r="D753" s="37"/>
      <c r="E753" s="37"/>
      <c r="F753" s="37"/>
      <c r="G753" s="3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8.75" customHeight="1">
      <c r="A754" s="37"/>
      <c r="B754" s="83"/>
      <c r="C754" s="37"/>
      <c r="D754" s="37"/>
      <c r="E754" s="37"/>
      <c r="F754" s="37"/>
      <c r="G754" s="3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8.75" customHeight="1">
      <c r="A755" s="37"/>
      <c r="B755" s="83"/>
      <c r="C755" s="37"/>
      <c r="D755" s="37"/>
      <c r="E755" s="37"/>
      <c r="F755" s="37"/>
      <c r="G755" s="3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8.75" customHeight="1">
      <c r="A756" s="37"/>
      <c r="B756" s="83"/>
      <c r="C756" s="37"/>
      <c r="D756" s="37"/>
      <c r="E756" s="37"/>
      <c r="F756" s="37"/>
      <c r="G756" s="3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8.75" customHeight="1">
      <c r="A757" s="37"/>
      <c r="B757" s="83"/>
      <c r="C757" s="37"/>
      <c r="D757" s="37"/>
      <c r="E757" s="37"/>
      <c r="F757" s="37"/>
      <c r="G757" s="3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8.75" customHeight="1">
      <c r="A758" s="37"/>
      <c r="B758" s="83"/>
      <c r="C758" s="37"/>
      <c r="D758" s="37"/>
      <c r="E758" s="37"/>
      <c r="F758" s="37"/>
      <c r="G758" s="3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8.75" customHeight="1">
      <c r="A759" s="37"/>
      <c r="B759" s="83"/>
      <c r="C759" s="37"/>
      <c r="D759" s="37"/>
      <c r="E759" s="37"/>
      <c r="F759" s="37"/>
      <c r="G759" s="3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8.75" customHeight="1">
      <c r="A760" s="37"/>
      <c r="B760" s="83"/>
      <c r="C760" s="37"/>
      <c r="D760" s="37"/>
      <c r="E760" s="37"/>
      <c r="F760" s="37"/>
      <c r="G760" s="3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8.75" customHeight="1">
      <c r="A761" s="37"/>
      <c r="B761" s="83"/>
      <c r="C761" s="37"/>
      <c r="D761" s="37"/>
      <c r="E761" s="37"/>
      <c r="F761" s="37"/>
      <c r="G761" s="3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8.75" customHeight="1">
      <c r="A762" s="37"/>
      <c r="B762" s="83"/>
      <c r="C762" s="37"/>
      <c r="D762" s="37"/>
      <c r="E762" s="37"/>
      <c r="F762" s="37"/>
      <c r="G762" s="3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8.75" customHeight="1">
      <c r="A763" s="37"/>
      <c r="B763" s="83"/>
      <c r="C763" s="37"/>
      <c r="D763" s="37"/>
      <c r="E763" s="37"/>
      <c r="F763" s="37"/>
      <c r="G763" s="3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8.75" customHeight="1">
      <c r="A764" s="37"/>
      <c r="B764" s="83"/>
      <c r="C764" s="37"/>
      <c r="D764" s="37"/>
      <c r="E764" s="37"/>
      <c r="F764" s="37"/>
      <c r="G764" s="3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8.75" customHeight="1">
      <c r="A765" s="37"/>
      <c r="B765" s="83"/>
      <c r="C765" s="37"/>
      <c r="D765" s="37"/>
      <c r="E765" s="37"/>
      <c r="F765" s="37"/>
      <c r="G765" s="3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8.75" customHeight="1">
      <c r="A766" s="37"/>
      <c r="B766" s="83"/>
      <c r="C766" s="37"/>
      <c r="D766" s="37"/>
      <c r="E766" s="37"/>
      <c r="F766" s="37"/>
      <c r="G766" s="3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8.75" customHeight="1">
      <c r="A767" s="37"/>
      <c r="B767" s="83"/>
      <c r="C767" s="37"/>
      <c r="D767" s="37"/>
      <c r="E767" s="37"/>
      <c r="F767" s="37"/>
      <c r="G767" s="3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8.75" customHeight="1">
      <c r="A768" s="37"/>
      <c r="B768" s="83"/>
      <c r="C768" s="37"/>
      <c r="D768" s="37"/>
      <c r="E768" s="37"/>
      <c r="F768" s="37"/>
      <c r="G768" s="3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8.75" customHeight="1">
      <c r="A769" s="37"/>
      <c r="B769" s="83"/>
      <c r="C769" s="37"/>
      <c r="D769" s="37"/>
      <c r="E769" s="37"/>
      <c r="F769" s="37"/>
      <c r="G769" s="3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8.75" customHeight="1">
      <c r="A770" s="37"/>
      <c r="B770" s="83"/>
      <c r="C770" s="37"/>
      <c r="D770" s="37"/>
      <c r="E770" s="37"/>
      <c r="F770" s="37"/>
      <c r="G770" s="3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8.75" customHeight="1">
      <c r="A771" s="37"/>
      <c r="B771" s="83"/>
      <c r="C771" s="37"/>
      <c r="D771" s="37"/>
      <c r="E771" s="37"/>
      <c r="F771" s="37"/>
      <c r="G771" s="3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8.75" customHeight="1">
      <c r="A772" s="37"/>
      <c r="B772" s="83"/>
      <c r="C772" s="37"/>
      <c r="D772" s="37"/>
      <c r="E772" s="37"/>
      <c r="F772" s="37"/>
      <c r="G772" s="3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8.75" customHeight="1">
      <c r="A773" s="37"/>
      <c r="B773" s="83"/>
      <c r="C773" s="37"/>
      <c r="D773" s="37"/>
      <c r="E773" s="37"/>
      <c r="F773" s="37"/>
      <c r="G773" s="3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8.75" customHeight="1">
      <c r="A774" s="37"/>
      <c r="B774" s="83"/>
      <c r="C774" s="37"/>
      <c r="D774" s="37"/>
      <c r="E774" s="37"/>
      <c r="F774" s="37"/>
      <c r="G774" s="3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8.75" customHeight="1">
      <c r="A775" s="37"/>
      <c r="B775" s="83"/>
      <c r="C775" s="37"/>
      <c r="D775" s="37"/>
      <c r="E775" s="37"/>
      <c r="F775" s="37"/>
      <c r="G775" s="3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8.75" customHeight="1">
      <c r="A776" s="37"/>
      <c r="B776" s="83"/>
      <c r="C776" s="37"/>
      <c r="D776" s="37"/>
      <c r="E776" s="37"/>
      <c r="F776" s="37"/>
      <c r="G776" s="3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8.75" customHeight="1">
      <c r="A777" s="37"/>
      <c r="B777" s="83"/>
      <c r="C777" s="37"/>
      <c r="D777" s="37"/>
      <c r="E777" s="37"/>
      <c r="F777" s="37"/>
      <c r="G777" s="3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8.75" customHeight="1">
      <c r="A778" s="37"/>
      <c r="B778" s="83"/>
      <c r="C778" s="37"/>
      <c r="D778" s="37"/>
      <c r="E778" s="37"/>
      <c r="F778" s="37"/>
      <c r="G778" s="3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8.75" customHeight="1">
      <c r="A779" s="37"/>
      <c r="B779" s="83"/>
      <c r="C779" s="37"/>
      <c r="D779" s="37"/>
      <c r="E779" s="37"/>
      <c r="F779" s="37"/>
      <c r="G779" s="3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8.75" customHeight="1">
      <c r="A780" s="37"/>
      <c r="B780" s="83"/>
      <c r="C780" s="37"/>
      <c r="D780" s="37"/>
      <c r="E780" s="37"/>
      <c r="F780" s="37"/>
      <c r="G780" s="3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8.75" customHeight="1">
      <c r="A781" s="37"/>
      <c r="B781" s="83"/>
      <c r="C781" s="37"/>
      <c r="D781" s="37"/>
      <c r="E781" s="37"/>
      <c r="F781" s="37"/>
      <c r="G781" s="3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8.75" customHeight="1">
      <c r="A782" s="37"/>
      <c r="B782" s="83"/>
      <c r="C782" s="37"/>
      <c r="D782" s="37"/>
      <c r="E782" s="37"/>
      <c r="F782" s="37"/>
      <c r="G782" s="3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8.75" customHeight="1">
      <c r="A783" s="37"/>
      <c r="B783" s="83"/>
      <c r="C783" s="37"/>
      <c r="D783" s="37"/>
      <c r="E783" s="37"/>
      <c r="F783" s="37"/>
      <c r="G783" s="3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8.75" customHeight="1">
      <c r="A784" s="37"/>
      <c r="B784" s="83"/>
      <c r="C784" s="37"/>
      <c r="D784" s="37"/>
      <c r="E784" s="37"/>
      <c r="F784" s="37"/>
      <c r="G784" s="3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8.75" customHeight="1">
      <c r="A785" s="37"/>
      <c r="B785" s="83"/>
      <c r="C785" s="37"/>
      <c r="D785" s="37"/>
      <c r="E785" s="37"/>
      <c r="F785" s="37"/>
      <c r="G785" s="3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8.75" customHeight="1">
      <c r="A786" s="37"/>
      <c r="B786" s="83"/>
      <c r="C786" s="37"/>
      <c r="D786" s="37"/>
      <c r="E786" s="37"/>
      <c r="F786" s="37"/>
      <c r="G786" s="3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8.75" customHeight="1">
      <c r="A787" s="37"/>
      <c r="B787" s="83"/>
      <c r="C787" s="37"/>
      <c r="D787" s="37"/>
      <c r="E787" s="37"/>
      <c r="F787" s="37"/>
      <c r="G787" s="3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8.75" customHeight="1">
      <c r="A788" s="37"/>
      <c r="B788" s="83"/>
      <c r="C788" s="37"/>
      <c r="D788" s="37"/>
      <c r="E788" s="37"/>
      <c r="F788" s="37"/>
      <c r="G788" s="3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8.75" customHeight="1">
      <c r="A789" s="37"/>
      <c r="B789" s="83"/>
      <c r="C789" s="37"/>
      <c r="D789" s="37"/>
      <c r="E789" s="37"/>
      <c r="F789" s="37"/>
      <c r="G789" s="3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8.75" customHeight="1">
      <c r="A790" s="37"/>
      <c r="B790" s="83"/>
      <c r="C790" s="37"/>
      <c r="D790" s="37"/>
      <c r="E790" s="37"/>
      <c r="F790" s="37"/>
      <c r="G790" s="3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8.75" customHeight="1">
      <c r="A791" s="37"/>
      <c r="B791" s="83"/>
      <c r="C791" s="37"/>
      <c r="D791" s="37"/>
      <c r="E791" s="37"/>
      <c r="F791" s="37"/>
      <c r="G791" s="3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8.75" customHeight="1">
      <c r="A792" s="37"/>
      <c r="B792" s="83"/>
      <c r="C792" s="37"/>
      <c r="D792" s="37"/>
      <c r="E792" s="37"/>
      <c r="F792" s="37"/>
      <c r="G792" s="3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8.75" customHeight="1">
      <c r="A793" s="37"/>
      <c r="B793" s="83"/>
      <c r="C793" s="37"/>
      <c r="D793" s="37"/>
      <c r="E793" s="37"/>
      <c r="F793" s="37"/>
      <c r="G793" s="3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8.75" customHeight="1">
      <c r="A794" s="37"/>
      <c r="B794" s="83"/>
      <c r="C794" s="37"/>
      <c r="D794" s="37"/>
      <c r="E794" s="37"/>
      <c r="F794" s="37"/>
      <c r="G794" s="3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8.75" customHeight="1">
      <c r="A795" s="37"/>
      <c r="B795" s="83"/>
      <c r="C795" s="37"/>
      <c r="D795" s="37"/>
      <c r="E795" s="37"/>
      <c r="F795" s="37"/>
      <c r="G795" s="3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8.75" customHeight="1">
      <c r="A796" s="37"/>
      <c r="B796" s="83"/>
      <c r="C796" s="37"/>
      <c r="D796" s="37"/>
      <c r="E796" s="37"/>
      <c r="F796" s="37"/>
      <c r="G796" s="3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8.75" customHeight="1">
      <c r="A797" s="37"/>
      <c r="B797" s="83"/>
      <c r="C797" s="37"/>
      <c r="D797" s="37"/>
      <c r="E797" s="37"/>
      <c r="F797" s="37"/>
      <c r="G797" s="3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8.75" customHeight="1">
      <c r="A798" s="37"/>
      <c r="B798" s="83"/>
      <c r="C798" s="37"/>
      <c r="D798" s="37"/>
      <c r="E798" s="37"/>
      <c r="F798" s="37"/>
      <c r="G798" s="3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8.75" customHeight="1">
      <c r="A799" s="37"/>
      <c r="B799" s="83"/>
      <c r="C799" s="37"/>
      <c r="D799" s="37"/>
      <c r="E799" s="37"/>
      <c r="F799" s="37"/>
      <c r="G799" s="3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8.75" customHeight="1">
      <c r="A800" s="37"/>
      <c r="B800" s="83"/>
      <c r="C800" s="37"/>
      <c r="D800" s="37"/>
      <c r="E800" s="37"/>
      <c r="F800" s="37"/>
      <c r="G800" s="3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8.75" customHeight="1">
      <c r="A801" s="37"/>
      <c r="B801" s="83"/>
      <c r="C801" s="37"/>
      <c r="D801" s="37"/>
      <c r="E801" s="37"/>
      <c r="F801" s="37"/>
      <c r="G801" s="3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8.75" customHeight="1">
      <c r="A802" s="37"/>
      <c r="B802" s="83"/>
      <c r="C802" s="37"/>
      <c r="D802" s="37"/>
      <c r="E802" s="37"/>
      <c r="F802" s="37"/>
      <c r="G802" s="3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8.75" customHeight="1">
      <c r="A803" s="37"/>
      <c r="B803" s="83"/>
      <c r="C803" s="37"/>
      <c r="D803" s="37"/>
      <c r="E803" s="37"/>
      <c r="F803" s="37"/>
      <c r="G803" s="3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8.75" customHeight="1">
      <c r="A804" s="37"/>
      <c r="B804" s="83"/>
      <c r="C804" s="37"/>
      <c r="D804" s="37"/>
      <c r="E804" s="37"/>
      <c r="F804" s="37"/>
      <c r="G804" s="3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8.75" customHeight="1">
      <c r="A805" s="37"/>
      <c r="B805" s="83"/>
      <c r="C805" s="37"/>
      <c r="D805" s="37"/>
      <c r="E805" s="37"/>
      <c r="F805" s="37"/>
      <c r="G805" s="3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8.75" customHeight="1">
      <c r="A806" s="37"/>
      <c r="B806" s="83"/>
      <c r="C806" s="37"/>
      <c r="D806" s="37"/>
      <c r="E806" s="37"/>
      <c r="F806" s="37"/>
      <c r="G806" s="3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8.75" customHeight="1">
      <c r="A807" s="37"/>
      <c r="B807" s="83"/>
      <c r="C807" s="37"/>
      <c r="D807" s="37"/>
      <c r="E807" s="37"/>
      <c r="F807" s="37"/>
      <c r="G807" s="3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8.75" customHeight="1">
      <c r="A808" s="37"/>
      <c r="B808" s="83"/>
      <c r="C808" s="37"/>
      <c r="D808" s="37"/>
      <c r="E808" s="37"/>
      <c r="F808" s="37"/>
      <c r="G808" s="3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8.75" customHeight="1">
      <c r="A809" s="37"/>
      <c r="B809" s="83"/>
      <c r="C809" s="37"/>
      <c r="D809" s="37"/>
      <c r="E809" s="37"/>
      <c r="F809" s="37"/>
      <c r="G809" s="3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8.75" customHeight="1">
      <c r="A810" s="37"/>
      <c r="B810" s="83"/>
      <c r="C810" s="37"/>
      <c r="D810" s="37"/>
      <c r="E810" s="37"/>
      <c r="F810" s="37"/>
      <c r="G810" s="3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8.75" customHeight="1">
      <c r="A811" s="37"/>
      <c r="B811" s="83"/>
      <c r="C811" s="37"/>
      <c r="D811" s="37"/>
      <c r="E811" s="37"/>
      <c r="F811" s="37"/>
      <c r="G811" s="3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8.75" customHeight="1">
      <c r="A812" s="37"/>
      <c r="B812" s="83"/>
      <c r="C812" s="37"/>
      <c r="D812" s="37"/>
      <c r="E812" s="37"/>
      <c r="F812" s="37"/>
      <c r="G812" s="3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8.75" customHeight="1">
      <c r="A813" s="37"/>
      <c r="B813" s="83"/>
      <c r="C813" s="37"/>
      <c r="D813" s="37"/>
      <c r="E813" s="37"/>
      <c r="F813" s="37"/>
      <c r="G813" s="3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8.75" customHeight="1">
      <c r="A814" s="37"/>
      <c r="B814" s="83"/>
      <c r="C814" s="37"/>
      <c r="D814" s="37"/>
      <c r="E814" s="37"/>
      <c r="F814" s="37"/>
      <c r="G814" s="3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8.75" customHeight="1">
      <c r="A815" s="37"/>
      <c r="B815" s="83"/>
      <c r="C815" s="37"/>
      <c r="D815" s="37"/>
      <c r="E815" s="37"/>
      <c r="F815" s="37"/>
      <c r="G815" s="3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8.75" customHeight="1">
      <c r="A816" s="37"/>
      <c r="B816" s="83"/>
      <c r="C816" s="37"/>
      <c r="D816" s="37"/>
      <c r="E816" s="37"/>
      <c r="F816" s="37"/>
      <c r="G816" s="3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8.75" customHeight="1">
      <c r="A817" s="37"/>
      <c r="B817" s="83"/>
      <c r="C817" s="37"/>
      <c r="D817" s="37"/>
      <c r="E817" s="37"/>
      <c r="F817" s="37"/>
      <c r="G817" s="3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8.75" customHeight="1">
      <c r="A818" s="37"/>
      <c r="B818" s="83"/>
      <c r="C818" s="37"/>
      <c r="D818" s="37"/>
      <c r="E818" s="37"/>
      <c r="F818" s="37"/>
      <c r="G818" s="3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8.75" customHeight="1">
      <c r="A819" s="37"/>
      <c r="B819" s="83"/>
      <c r="C819" s="37"/>
      <c r="D819" s="37"/>
      <c r="E819" s="37"/>
      <c r="F819" s="37"/>
      <c r="G819" s="3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8.75" customHeight="1">
      <c r="A820" s="37"/>
      <c r="B820" s="83"/>
      <c r="C820" s="37"/>
      <c r="D820" s="37"/>
      <c r="E820" s="37"/>
      <c r="F820" s="37"/>
      <c r="G820" s="3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8.75" customHeight="1">
      <c r="A821" s="37"/>
      <c r="B821" s="83"/>
      <c r="C821" s="37"/>
      <c r="D821" s="37"/>
      <c r="E821" s="37"/>
      <c r="F821" s="37"/>
      <c r="G821" s="3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8.75" customHeight="1">
      <c r="A822" s="37"/>
      <c r="B822" s="83"/>
      <c r="C822" s="37"/>
      <c r="D822" s="37"/>
      <c r="E822" s="37"/>
      <c r="F822" s="37"/>
      <c r="G822" s="3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8.75" customHeight="1">
      <c r="A823" s="37"/>
      <c r="B823" s="83"/>
      <c r="C823" s="37"/>
      <c r="D823" s="37"/>
      <c r="E823" s="37"/>
      <c r="F823" s="37"/>
      <c r="G823" s="3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8.75" customHeight="1">
      <c r="A824" s="37"/>
      <c r="B824" s="83"/>
      <c r="C824" s="37"/>
      <c r="D824" s="37"/>
      <c r="E824" s="37"/>
      <c r="F824" s="37"/>
      <c r="G824" s="3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8.75" customHeight="1">
      <c r="A825" s="37"/>
      <c r="B825" s="83"/>
      <c r="C825" s="37"/>
      <c r="D825" s="37"/>
      <c r="E825" s="37"/>
      <c r="F825" s="37"/>
      <c r="G825" s="3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8.75" customHeight="1">
      <c r="A826" s="37"/>
      <c r="B826" s="83"/>
      <c r="C826" s="37"/>
      <c r="D826" s="37"/>
      <c r="E826" s="37"/>
      <c r="F826" s="37"/>
      <c r="G826" s="3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8.75" customHeight="1">
      <c r="A827" s="37"/>
      <c r="B827" s="83"/>
      <c r="C827" s="37"/>
      <c r="D827" s="37"/>
      <c r="E827" s="37"/>
      <c r="F827" s="37"/>
      <c r="G827" s="3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8.75" customHeight="1">
      <c r="A828" s="37"/>
      <c r="B828" s="83"/>
      <c r="C828" s="37"/>
      <c r="D828" s="37"/>
      <c r="E828" s="37"/>
      <c r="F828" s="37"/>
      <c r="G828" s="3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8.75" customHeight="1">
      <c r="A829" s="37"/>
      <c r="B829" s="83"/>
      <c r="C829" s="37"/>
      <c r="D829" s="37"/>
      <c r="E829" s="37"/>
      <c r="F829" s="37"/>
      <c r="G829" s="3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8.75" customHeight="1">
      <c r="A830" s="37"/>
      <c r="B830" s="83"/>
      <c r="C830" s="37"/>
      <c r="D830" s="37"/>
      <c r="E830" s="37"/>
      <c r="F830" s="37"/>
      <c r="G830" s="3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8.75" customHeight="1">
      <c r="A831" s="37"/>
      <c r="B831" s="83"/>
      <c r="C831" s="37"/>
      <c r="D831" s="37"/>
      <c r="E831" s="37"/>
      <c r="F831" s="37"/>
      <c r="G831" s="3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8.75" customHeight="1">
      <c r="A832" s="37"/>
      <c r="B832" s="83"/>
      <c r="C832" s="37"/>
      <c r="D832" s="37"/>
      <c r="E832" s="37"/>
      <c r="F832" s="37"/>
      <c r="G832" s="3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8.75" customHeight="1">
      <c r="A833" s="37"/>
      <c r="B833" s="83"/>
      <c r="C833" s="37"/>
      <c r="D833" s="37"/>
      <c r="E833" s="37"/>
      <c r="F833" s="37"/>
      <c r="G833" s="3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8.75" customHeight="1">
      <c r="A834" s="37"/>
      <c r="B834" s="83"/>
      <c r="C834" s="37"/>
      <c r="D834" s="37"/>
      <c r="E834" s="37"/>
      <c r="F834" s="37"/>
      <c r="G834" s="3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8.75" customHeight="1">
      <c r="A835" s="37"/>
      <c r="B835" s="83"/>
      <c r="C835" s="37"/>
      <c r="D835" s="37"/>
      <c r="E835" s="37"/>
      <c r="F835" s="37"/>
      <c r="G835" s="3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8.75" customHeight="1">
      <c r="A836" s="37"/>
      <c r="B836" s="83"/>
      <c r="C836" s="37"/>
      <c r="D836" s="37"/>
      <c r="E836" s="37"/>
      <c r="F836" s="37"/>
      <c r="G836" s="3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8.75" customHeight="1">
      <c r="A837" s="37"/>
      <c r="B837" s="83"/>
      <c r="C837" s="37"/>
      <c r="D837" s="37"/>
      <c r="E837" s="37"/>
      <c r="F837" s="37"/>
      <c r="G837" s="3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8.75" customHeight="1">
      <c r="A838" s="37"/>
      <c r="B838" s="83"/>
      <c r="C838" s="37"/>
      <c r="D838" s="37"/>
      <c r="E838" s="37"/>
      <c r="F838" s="37"/>
      <c r="G838" s="3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8.75" customHeight="1">
      <c r="A839" s="37"/>
      <c r="B839" s="83"/>
      <c r="C839" s="37"/>
      <c r="D839" s="37"/>
      <c r="E839" s="37"/>
      <c r="F839" s="37"/>
      <c r="G839" s="3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8.75" customHeight="1">
      <c r="A840" s="37"/>
      <c r="B840" s="83"/>
      <c r="C840" s="37"/>
      <c r="D840" s="37"/>
      <c r="E840" s="37"/>
      <c r="F840" s="37"/>
      <c r="G840" s="3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8.75" customHeight="1">
      <c r="A841" s="37"/>
      <c r="B841" s="83"/>
      <c r="C841" s="37"/>
      <c r="D841" s="37"/>
      <c r="E841" s="37"/>
      <c r="F841" s="37"/>
      <c r="G841" s="3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8.75" customHeight="1">
      <c r="A842" s="37"/>
      <c r="B842" s="83"/>
      <c r="C842" s="37"/>
      <c r="D842" s="37"/>
      <c r="E842" s="37"/>
      <c r="F842" s="37"/>
      <c r="G842" s="3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8.75" customHeight="1">
      <c r="A843" s="37"/>
      <c r="B843" s="83"/>
      <c r="C843" s="37"/>
      <c r="D843" s="37"/>
      <c r="E843" s="37"/>
      <c r="F843" s="37"/>
      <c r="G843" s="3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8.75" customHeight="1">
      <c r="A844" s="37"/>
      <c r="B844" s="83"/>
      <c r="C844" s="37"/>
      <c r="D844" s="37"/>
      <c r="E844" s="37"/>
      <c r="F844" s="37"/>
      <c r="G844" s="3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8.75" customHeight="1">
      <c r="A845" s="37"/>
      <c r="B845" s="83"/>
      <c r="C845" s="37"/>
      <c r="D845" s="37"/>
      <c r="E845" s="37"/>
      <c r="F845" s="37"/>
      <c r="G845" s="3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8.75" customHeight="1">
      <c r="A846" s="37"/>
      <c r="B846" s="83"/>
      <c r="C846" s="37"/>
      <c r="D846" s="37"/>
      <c r="E846" s="37"/>
      <c r="F846" s="37"/>
      <c r="G846" s="3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8.75" customHeight="1">
      <c r="A847" s="37"/>
      <c r="B847" s="83"/>
      <c r="C847" s="37"/>
      <c r="D847" s="37"/>
      <c r="E847" s="37"/>
      <c r="F847" s="37"/>
      <c r="G847" s="3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8.75" customHeight="1">
      <c r="A848" s="37"/>
      <c r="B848" s="83"/>
      <c r="C848" s="37"/>
      <c r="D848" s="37"/>
      <c r="E848" s="37"/>
      <c r="F848" s="37"/>
      <c r="G848" s="3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8.75" customHeight="1">
      <c r="A849" s="37"/>
      <c r="B849" s="83"/>
      <c r="C849" s="37"/>
      <c r="D849" s="37"/>
      <c r="E849" s="37"/>
      <c r="F849" s="37"/>
      <c r="G849" s="3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8.75" customHeight="1">
      <c r="A850" s="37"/>
      <c r="B850" s="83"/>
      <c r="C850" s="37"/>
      <c r="D850" s="37"/>
      <c r="E850" s="37"/>
      <c r="F850" s="37"/>
      <c r="G850" s="3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8.75" customHeight="1">
      <c r="A851" s="37"/>
      <c r="B851" s="83"/>
      <c r="C851" s="37"/>
      <c r="D851" s="37"/>
      <c r="E851" s="37"/>
      <c r="F851" s="37"/>
      <c r="G851" s="3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8.75" customHeight="1">
      <c r="A852" s="37"/>
      <c r="B852" s="83"/>
      <c r="C852" s="37"/>
      <c r="D852" s="37"/>
      <c r="E852" s="37"/>
      <c r="F852" s="37"/>
      <c r="G852" s="3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8.75" customHeight="1">
      <c r="A853" s="37"/>
      <c r="B853" s="83"/>
      <c r="C853" s="37"/>
      <c r="D853" s="37"/>
      <c r="E853" s="37"/>
      <c r="F853" s="37"/>
      <c r="G853" s="3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8.75" customHeight="1">
      <c r="A854" s="37"/>
      <c r="B854" s="83"/>
      <c r="C854" s="37"/>
      <c r="D854" s="37"/>
      <c r="E854" s="37"/>
      <c r="F854" s="37"/>
      <c r="G854" s="3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8.75" customHeight="1">
      <c r="A855" s="37"/>
      <c r="B855" s="83"/>
      <c r="C855" s="37"/>
      <c r="D855" s="37"/>
      <c r="E855" s="37"/>
      <c r="F855" s="37"/>
      <c r="G855" s="3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8.75" customHeight="1">
      <c r="A856" s="37"/>
      <c r="B856" s="83"/>
      <c r="C856" s="37"/>
      <c r="D856" s="37"/>
      <c r="E856" s="37"/>
      <c r="F856" s="37"/>
      <c r="G856" s="3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8.75" customHeight="1">
      <c r="A857" s="37"/>
      <c r="B857" s="83"/>
      <c r="C857" s="37"/>
      <c r="D857" s="37"/>
      <c r="E857" s="37"/>
      <c r="F857" s="37"/>
      <c r="G857" s="3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8.75" customHeight="1">
      <c r="A858" s="37"/>
      <c r="B858" s="83"/>
      <c r="C858" s="37"/>
      <c r="D858" s="37"/>
      <c r="E858" s="37"/>
      <c r="F858" s="37"/>
      <c r="G858" s="3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8.75" customHeight="1">
      <c r="A859" s="37"/>
      <c r="B859" s="83"/>
      <c r="C859" s="37"/>
      <c r="D859" s="37"/>
      <c r="E859" s="37"/>
      <c r="F859" s="37"/>
      <c r="G859" s="3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8.75" customHeight="1">
      <c r="A860" s="37"/>
      <c r="B860" s="83"/>
      <c r="C860" s="37"/>
      <c r="D860" s="37"/>
      <c r="E860" s="37"/>
      <c r="F860" s="37"/>
      <c r="G860" s="3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8.75" customHeight="1">
      <c r="A861" s="37"/>
      <c r="B861" s="83"/>
      <c r="C861" s="37"/>
      <c r="D861" s="37"/>
      <c r="E861" s="37"/>
      <c r="F861" s="37"/>
      <c r="G861" s="3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8.75" customHeight="1">
      <c r="A862" s="37"/>
      <c r="B862" s="83"/>
      <c r="C862" s="37"/>
      <c r="D862" s="37"/>
      <c r="E862" s="37"/>
      <c r="F862" s="37"/>
      <c r="G862" s="3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8.75" customHeight="1">
      <c r="A863" s="37"/>
      <c r="B863" s="83"/>
      <c r="C863" s="37"/>
      <c r="D863" s="37"/>
      <c r="E863" s="37"/>
      <c r="F863" s="37"/>
      <c r="G863" s="3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8.75" customHeight="1">
      <c r="A864" s="37"/>
      <c r="B864" s="83"/>
      <c r="C864" s="37"/>
      <c r="D864" s="37"/>
      <c r="E864" s="37"/>
      <c r="F864" s="37"/>
      <c r="G864" s="3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8.75" customHeight="1">
      <c r="A865" s="37"/>
      <c r="B865" s="83"/>
      <c r="C865" s="37"/>
      <c r="D865" s="37"/>
      <c r="E865" s="37"/>
      <c r="F865" s="37"/>
      <c r="G865" s="3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8.75" customHeight="1">
      <c r="A866" s="37"/>
      <c r="B866" s="83"/>
      <c r="C866" s="37"/>
      <c r="D866" s="37"/>
      <c r="E866" s="37"/>
      <c r="F866" s="37"/>
      <c r="G866" s="3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8.75" customHeight="1">
      <c r="A867" s="37"/>
      <c r="B867" s="83"/>
      <c r="C867" s="37"/>
      <c r="D867" s="37"/>
      <c r="E867" s="37"/>
      <c r="F867" s="37"/>
      <c r="G867" s="3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8.75" customHeight="1">
      <c r="A868" s="37"/>
      <c r="B868" s="83"/>
      <c r="C868" s="37"/>
      <c r="D868" s="37"/>
      <c r="E868" s="37"/>
      <c r="F868" s="37"/>
      <c r="G868" s="3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8.75" customHeight="1">
      <c r="A869" s="37"/>
      <c r="B869" s="83"/>
      <c r="C869" s="37"/>
      <c r="D869" s="37"/>
      <c r="E869" s="37"/>
      <c r="F869" s="37"/>
      <c r="G869" s="3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8.75" customHeight="1">
      <c r="A870" s="37"/>
      <c r="B870" s="83"/>
      <c r="C870" s="37"/>
      <c r="D870" s="37"/>
      <c r="E870" s="37"/>
      <c r="F870" s="37"/>
      <c r="G870" s="3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8.75" customHeight="1">
      <c r="A871" s="37"/>
      <c r="B871" s="83"/>
      <c r="C871" s="37"/>
      <c r="D871" s="37"/>
      <c r="E871" s="37"/>
      <c r="F871" s="37"/>
      <c r="G871" s="3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8.75" customHeight="1">
      <c r="A872" s="37"/>
      <c r="B872" s="83"/>
      <c r="C872" s="37"/>
      <c r="D872" s="37"/>
      <c r="E872" s="37"/>
      <c r="F872" s="37"/>
      <c r="G872" s="3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8.75" customHeight="1">
      <c r="A873" s="37"/>
      <c r="B873" s="83"/>
      <c r="C873" s="37"/>
      <c r="D873" s="37"/>
      <c r="E873" s="37"/>
      <c r="F873" s="37"/>
      <c r="G873" s="3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8.75" customHeight="1">
      <c r="A874" s="37"/>
      <c r="B874" s="83"/>
      <c r="C874" s="37"/>
      <c r="D874" s="37"/>
      <c r="E874" s="37"/>
      <c r="F874" s="37"/>
      <c r="G874" s="3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8.75" customHeight="1">
      <c r="A875" s="37"/>
      <c r="B875" s="83"/>
      <c r="C875" s="37"/>
      <c r="D875" s="37"/>
      <c r="E875" s="37"/>
      <c r="F875" s="37"/>
      <c r="G875" s="3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8.75" customHeight="1">
      <c r="A876" s="37"/>
      <c r="B876" s="83"/>
      <c r="C876" s="37"/>
      <c r="D876" s="37"/>
      <c r="E876" s="37"/>
      <c r="F876" s="37"/>
      <c r="G876" s="3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8.75" customHeight="1">
      <c r="A877" s="37"/>
      <c r="B877" s="83"/>
      <c r="C877" s="37"/>
      <c r="D877" s="37"/>
      <c r="E877" s="37"/>
      <c r="F877" s="37"/>
      <c r="G877" s="3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8.75" customHeight="1">
      <c r="A878" s="37"/>
      <c r="B878" s="83"/>
      <c r="C878" s="37"/>
      <c r="D878" s="37"/>
      <c r="E878" s="37"/>
      <c r="F878" s="37"/>
      <c r="G878" s="3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8.75" customHeight="1">
      <c r="A879" s="37"/>
      <c r="B879" s="83"/>
      <c r="C879" s="37"/>
      <c r="D879" s="37"/>
      <c r="E879" s="37"/>
      <c r="F879" s="37"/>
      <c r="G879" s="3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8.75" customHeight="1">
      <c r="A880" s="37"/>
      <c r="B880" s="83"/>
      <c r="C880" s="37"/>
      <c r="D880" s="37"/>
      <c r="E880" s="37"/>
      <c r="F880" s="37"/>
      <c r="G880" s="3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8.75" customHeight="1">
      <c r="A881" s="37"/>
      <c r="B881" s="83"/>
      <c r="C881" s="37"/>
      <c r="D881" s="37"/>
      <c r="E881" s="37"/>
      <c r="F881" s="37"/>
      <c r="G881" s="3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8.75" customHeight="1">
      <c r="A882" s="37"/>
      <c r="B882" s="83"/>
      <c r="C882" s="37"/>
      <c r="D882" s="37"/>
      <c r="E882" s="37"/>
      <c r="F882" s="37"/>
      <c r="G882" s="3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8.75" customHeight="1">
      <c r="A883" s="37"/>
      <c r="B883" s="83"/>
      <c r="C883" s="37"/>
      <c r="D883" s="37"/>
      <c r="E883" s="37"/>
      <c r="F883" s="37"/>
      <c r="G883" s="3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8.75" customHeight="1">
      <c r="A884" s="37"/>
      <c r="B884" s="83"/>
      <c r="C884" s="37"/>
      <c r="D884" s="37"/>
      <c r="E884" s="37"/>
      <c r="F884" s="37"/>
      <c r="G884" s="3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8.75" customHeight="1">
      <c r="A885" s="37"/>
      <c r="B885" s="83"/>
      <c r="C885" s="37"/>
      <c r="D885" s="37"/>
      <c r="E885" s="37"/>
      <c r="F885" s="37"/>
      <c r="G885" s="3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8.75" customHeight="1">
      <c r="A886" s="37"/>
      <c r="B886" s="83"/>
      <c r="C886" s="37"/>
      <c r="D886" s="37"/>
      <c r="E886" s="37"/>
      <c r="F886" s="37"/>
      <c r="G886" s="3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8.75" customHeight="1">
      <c r="A887" s="37"/>
      <c r="B887" s="83"/>
      <c r="C887" s="37"/>
      <c r="D887" s="37"/>
      <c r="E887" s="37"/>
      <c r="F887" s="37"/>
      <c r="G887" s="3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8.75" customHeight="1">
      <c r="A888" s="37"/>
      <c r="B888" s="83"/>
      <c r="C888" s="37"/>
      <c r="D888" s="37"/>
      <c r="E888" s="37"/>
      <c r="F888" s="37"/>
      <c r="G888" s="3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8.75" customHeight="1">
      <c r="A889" s="37"/>
      <c r="B889" s="83"/>
      <c r="C889" s="37"/>
      <c r="D889" s="37"/>
      <c r="E889" s="37"/>
      <c r="F889" s="37"/>
      <c r="G889" s="3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8.75" customHeight="1">
      <c r="A890" s="37"/>
      <c r="B890" s="83"/>
      <c r="C890" s="37"/>
      <c r="D890" s="37"/>
      <c r="E890" s="37"/>
      <c r="F890" s="37"/>
      <c r="G890" s="3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8.75" customHeight="1">
      <c r="A891" s="37"/>
      <c r="B891" s="83"/>
      <c r="C891" s="37"/>
      <c r="D891" s="37"/>
      <c r="E891" s="37"/>
      <c r="F891" s="37"/>
      <c r="G891" s="3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8.75" customHeight="1">
      <c r="A892" s="37"/>
      <c r="B892" s="83"/>
      <c r="C892" s="37"/>
      <c r="D892" s="37"/>
      <c r="E892" s="37"/>
      <c r="F892" s="37"/>
      <c r="G892" s="3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8.75" customHeight="1">
      <c r="A893" s="37"/>
      <c r="B893" s="83"/>
      <c r="C893" s="37"/>
      <c r="D893" s="37"/>
      <c r="E893" s="37"/>
      <c r="F893" s="37"/>
      <c r="G893" s="3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8.75" customHeight="1">
      <c r="A894" s="37"/>
      <c r="B894" s="83"/>
      <c r="C894" s="37"/>
      <c r="D894" s="37"/>
      <c r="E894" s="37"/>
      <c r="F894" s="37"/>
      <c r="G894" s="3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8.75" customHeight="1">
      <c r="A895" s="37"/>
      <c r="B895" s="83"/>
      <c r="C895" s="37"/>
      <c r="D895" s="37"/>
      <c r="E895" s="37"/>
      <c r="F895" s="37"/>
      <c r="G895" s="3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8.75" customHeight="1">
      <c r="A896" s="37"/>
      <c r="B896" s="83"/>
      <c r="C896" s="37"/>
      <c r="D896" s="37"/>
      <c r="E896" s="37"/>
      <c r="F896" s="37"/>
      <c r="G896" s="3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8.75" customHeight="1">
      <c r="A897" s="37"/>
      <c r="B897" s="83"/>
      <c r="C897" s="37"/>
      <c r="D897" s="37"/>
      <c r="E897" s="37"/>
      <c r="F897" s="37"/>
      <c r="G897" s="3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8.75" customHeight="1">
      <c r="A898" s="37"/>
      <c r="B898" s="83"/>
      <c r="C898" s="37"/>
      <c r="D898" s="37"/>
      <c r="E898" s="37"/>
      <c r="F898" s="37"/>
      <c r="G898" s="3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8.75" customHeight="1">
      <c r="A899" s="37"/>
      <c r="B899" s="83"/>
      <c r="C899" s="37"/>
      <c r="D899" s="37"/>
      <c r="E899" s="37"/>
      <c r="F899" s="37"/>
      <c r="G899" s="3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8.75" customHeight="1">
      <c r="A900" s="37"/>
      <c r="B900" s="83"/>
      <c r="C900" s="37"/>
      <c r="D900" s="37"/>
      <c r="E900" s="37"/>
      <c r="F900" s="37"/>
      <c r="G900" s="3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8.75" customHeight="1">
      <c r="A901" s="37"/>
      <c r="B901" s="83"/>
      <c r="C901" s="37"/>
      <c r="D901" s="37"/>
      <c r="E901" s="37"/>
      <c r="F901" s="37"/>
      <c r="G901" s="3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8.75" customHeight="1">
      <c r="A902" s="37"/>
      <c r="B902" s="83"/>
      <c r="C902" s="37"/>
      <c r="D902" s="37"/>
      <c r="E902" s="37"/>
      <c r="F902" s="37"/>
      <c r="G902" s="3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8.75" customHeight="1">
      <c r="A903" s="37"/>
      <c r="B903" s="83"/>
      <c r="C903" s="37"/>
      <c r="D903" s="37"/>
      <c r="E903" s="37"/>
      <c r="F903" s="37"/>
      <c r="G903" s="3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8.75" customHeight="1">
      <c r="A904" s="37"/>
      <c r="B904" s="83"/>
      <c r="C904" s="37"/>
      <c r="D904" s="37"/>
      <c r="E904" s="37"/>
      <c r="F904" s="37"/>
      <c r="G904" s="3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8.75" customHeight="1">
      <c r="A905" s="37"/>
      <c r="B905" s="83"/>
      <c r="C905" s="37"/>
      <c r="D905" s="37"/>
      <c r="E905" s="37"/>
      <c r="F905" s="37"/>
      <c r="G905" s="3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8.75" customHeight="1">
      <c r="A906" s="37"/>
      <c r="B906" s="83"/>
      <c r="C906" s="37"/>
      <c r="D906" s="37"/>
      <c r="E906" s="37"/>
      <c r="F906" s="37"/>
      <c r="G906" s="3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8.75" customHeight="1">
      <c r="A907" s="37"/>
      <c r="B907" s="83"/>
      <c r="C907" s="37"/>
      <c r="D907" s="37"/>
      <c r="E907" s="37"/>
      <c r="F907" s="37"/>
      <c r="G907" s="3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8.75" customHeight="1">
      <c r="A908" s="37"/>
      <c r="B908" s="83"/>
      <c r="C908" s="37"/>
      <c r="D908" s="37"/>
      <c r="E908" s="37"/>
      <c r="F908" s="37"/>
      <c r="G908" s="3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8.75" customHeight="1">
      <c r="A909" s="37"/>
      <c r="B909" s="83"/>
      <c r="C909" s="37"/>
      <c r="D909" s="37"/>
      <c r="E909" s="37"/>
      <c r="F909" s="37"/>
      <c r="G909" s="3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8.75" customHeight="1">
      <c r="A910" s="37"/>
      <c r="B910" s="83"/>
      <c r="C910" s="37"/>
      <c r="D910" s="37"/>
      <c r="E910" s="37"/>
      <c r="F910" s="37"/>
      <c r="G910" s="3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8.75" customHeight="1">
      <c r="A911" s="37"/>
      <c r="B911" s="83"/>
      <c r="C911" s="37"/>
      <c r="D911" s="37"/>
      <c r="E911" s="37"/>
      <c r="F911" s="37"/>
      <c r="G911" s="3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8.75" customHeight="1">
      <c r="A912" s="37"/>
      <c r="B912" s="83"/>
      <c r="C912" s="37"/>
      <c r="D912" s="37"/>
      <c r="E912" s="37"/>
      <c r="F912" s="37"/>
      <c r="G912" s="3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8.75" customHeight="1">
      <c r="A913" s="37"/>
      <c r="B913" s="83"/>
      <c r="C913" s="37"/>
      <c r="D913" s="37"/>
      <c r="E913" s="37"/>
      <c r="F913" s="37"/>
      <c r="G913" s="3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8.75" customHeight="1">
      <c r="A914" s="37"/>
      <c r="B914" s="83"/>
      <c r="C914" s="37"/>
      <c r="D914" s="37"/>
      <c r="E914" s="37"/>
      <c r="F914" s="37"/>
      <c r="G914" s="3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8.75" customHeight="1">
      <c r="A915" s="37"/>
      <c r="B915" s="83"/>
      <c r="C915" s="37"/>
      <c r="D915" s="37"/>
      <c r="E915" s="37"/>
      <c r="F915" s="37"/>
      <c r="G915" s="3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8.75" customHeight="1">
      <c r="A916" s="37"/>
      <c r="B916" s="83"/>
      <c r="C916" s="37"/>
      <c r="D916" s="37"/>
      <c r="E916" s="37"/>
      <c r="F916" s="37"/>
      <c r="G916" s="3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8.75" customHeight="1">
      <c r="A917" s="37"/>
      <c r="B917" s="83"/>
      <c r="C917" s="37"/>
      <c r="D917" s="37"/>
      <c r="E917" s="37"/>
      <c r="F917" s="37"/>
      <c r="G917" s="3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8.75" customHeight="1">
      <c r="A918" s="37"/>
      <c r="B918" s="83"/>
      <c r="C918" s="37"/>
      <c r="D918" s="37"/>
      <c r="E918" s="37"/>
      <c r="F918" s="37"/>
      <c r="G918" s="3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8.75" customHeight="1">
      <c r="A919" s="37"/>
      <c r="B919" s="83"/>
      <c r="C919" s="37"/>
      <c r="D919" s="37"/>
      <c r="E919" s="37"/>
      <c r="F919" s="37"/>
      <c r="G919" s="3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8.75" customHeight="1">
      <c r="A920" s="37"/>
      <c r="B920" s="83"/>
      <c r="C920" s="37"/>
      <c r="D920" s="37"/>
      <c r="E920" s="37"/>
      <c r="F920" s="37"/>
      <c r="G920" s="3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8.75" customHeight="1">
      <c r="A921" s="37"/>
      <c r="B921" s="83"/>
      <c r="C921" s="37"/>
      <c r="D921" s="37"/>
      <c r="E921" s="37"/>
      <c r="F921" s="37"/>
      <c r="G921" s="3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8.75" customHeight="1">
      <c r="A922" s="37"/>
      <c r="B922" s="83"/>
      <c r="C922" s="37"/>
      <c r="D922" s="37"/>
      <c r="E922" s="37"/>
      <c r="F922" s="37"/>
      <c r="G922" s="3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8.75" customHeight="1">
      <c r="A923" s="37"/>
      <c r="B923" s="83"/>
      <c r="C923" s="37"/>
      <c r="D923" s="37"/>
      <c r="E923" s="37"/>
      <c r="F923" s="37"/>
      <c r="G923" s="3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8.75" customHeight="1">
      <c r="A924" s="37"/>
      <c r="B924" s="83"/>
      <c r="C924" s="37"/>
      <c r="D924" s="37"/>
      <c r="E924" s="37"/>
      <c r="F924" s="37"/>
      <c r="G924" s="3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8.75" customHeight="1">
      <c r="A925" s="37"/>
      <c r="B925" s="83"/>
      <c r="C925" s="37"/>
      <c r="D925" s="37"/>
      <c r="E925" s="37"/>
      <c r="F925" s="37"/>
      <c r="G925" s="3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8.75" customHeight="1">
      <c r="A926" s="37"/>
      <c r="B926" s="83"/>
      <c r="C926" s="37"/>
      <c r="D926" s="37"/>
      <c r="E926" s="37"/>
      <c r="F926" s="37"/>
      <c r="G926" s="3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8.75" customHeight="1">
      <c r="A927" s="37"/>
      <c r="B927" s="83"/>
      <c r="C927" s="37"/>
      <c r="D927" s="37"/>
      <c r="E927" s="37"/>
      <c r="F927" s="37"/>
      <c r="G927" s="3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8.75" customHeight="1">
      <c r="A928" s="37"/>
      <c r="B928" s="83"/>
      <c r="C928" s="37"/>
      <c r="D928" s="37"/>
      <c r="E928" s="37"/>
      <c r="F928" s="37"/>
      <c r="G928" s="3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8.75" customHeight="1">
      <c r="A929" s="37"/>
      <c r="B929" s="83"/>
      <c r="C929" s="37"/>
      <c r="D929" s="37"/>
      <c r="E929" s="37"/>
      <c r="F929" s="37"/>
      <c r="G929" s="3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8.75" customHeight="1">
      <c r="A930" s="37"/>
      <c r="B930" s="83"/>
      <c r="C930" s="37"/>
      <c r="D930" s="37"/>
      <c r="E930" s="37"/>
      <c r="F930" s="37"/>
      <c r="G930" s="3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8.75" customHeight="1">
      <c r="A931" s="37"/>
      <c r="B931" s="83"/>
      <c r="C931" s="37"/>
      <c r="D931" s="37"/>
      <c r="E931" s="37"/>
      <c r="F931" s="37"/>
      <c r="G931" s="3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8.75" customHeight="1">
      <c r="A932" s="37"/>
      <c r="B932" s="83"/>
      <c r="C932" s="37"/>
      <c r="D932" s="37"/>
      <c r="E932" s="37"/>
      <c r="F932" s="37"/>
      <c r="G932" s="3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8.75" customHeight="1">
      <c r="A933" s="37"/>
      <c r="B933" s="83"/>
      <c r="C933" s="37"/>
      <c r="D933" s="37"/>
      <c r="E933" s="37"/>
      <c r="F933" s="37"/>
      <c r="G933" s="3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8.75" customHeight="1">
      <c r="A934" s="37"/>
      <c r="B934" s="83"/>
      <c r="C934" s="37"/>
      <c r="D934" s="37"/>
      <c r="E934" s="37"/>
      <c r="F934" s="37"/>
      <c r="G934" s="3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8.75" customHeight="1">
      <c r="A935" s="37"/>
      <c r="B935" s="83"/>
      <c r="C935" s="37"/>
      <c r="D935" s="37"/>
      <c r="E935" s="37"/>
      <c r="F935" s="37"/>
      <c r="G935" s="3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8.75" customHeight="1">
      <c r="A936" s="37"/>
      <c r="B936" s="83"/>
      <c r="C936" s="37"/>
      <c r="D936" s="37"/>
      <c r="E936" s="37"/>
      <c r="F936" s="37"/>
      <c r="G936" s="3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8.75" customHeight="1">
      <c r="A937" s="37"/>
      <c r="B937" s="83"/>
      <c r="C937" s="37"/>
      <c r="D937" s="37"/>
      <c r="E937" s="37"/>
      <c r="F937" s="37"/>
      <c r="G937" s="3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8.75" customHeight="1">
      <c r="A938" s="37"/>
      <c r="B938" s="83"/>
      <c r="C938" s="37"/>
      <c r="D938" s="37"/>
      <c r="E938" s="37"/>
      <c r="F938" s="37"/>
      <c r="G938" s="3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8.75" customHeight="1">
      <c r="A939" s="37"/>
      <c r="B939" s="83"/>
      <c r="C939" s="37"/>
      <c r="D939" s="37"/>
      <c r="E939" s="37"/>
      <c r="F939" s="37"/>
      <c r="G939" s="3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8.75" customHeight="1">
      <c r="A940" s="37"/>
      <c r="B940" s="83"/>
      <c r="C940" s="37"/>
      <c r="D940" s="37"/>
      <c r="E940" s="37"/>
      <c r="F940" s="37"/>
      <c r="G940" s="3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8.75" customHeight="1">
      <c r="A941" s="37"/>
      <c r="B941" s="83"/>
      <c r="C941" s="37"/>
      <c r="D941" s="37"/>
      <c r="E941" s="37"/>
      <c r="F941" s="37"/>
      <c r="G941" s="3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8.75" customHeight="1">
      <c r="A942" s="37"/>
      <c r="B942" s="83"/>
      <c r="C942" s="37"/>
      <c r="D942" s="37"/>
      <c r="E942" s="37"/>
      <c r="F942" s="37"/>
      <c r="G942" s="3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8.75" customHeight="1">
      <c r="A943" s="37"/>
      <c r="B943" s="83"/>
      <c r="C943" s="37"/>
      <c r="D943" s="37"/>
      <c r="E943" s="37"/>
      <c r="F943" s="37"/>
      <c r="G943" s="3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8.75" customHeight="1">
      <c r="A944" s="37"/>
      <c r="B944" s="83"/>
      <c r="C944" s="37"/>
      <c r="D944" s="37"/>
      <c r="E944" s="37"/>
      <c r="F944" s="37"/>
      <c r="G944" s="3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8.75" customHeight="1">
      <c r="A945" s="37"/>
      <c r="B945" s="83"/>
      <c r="C945" s="37"/>
      <c r="D945" s="37"/>
      <c r="E945" s="37"/>
      <c r="F945" s="37"/>
      <c r="G945" s="3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8.75" customHeight="1">
      <c r="A946" s="37"/>
      <c r="B946" s="83"/>
      <c r="C946" s="37"/>
      <c r="D946" s="37"/>
      <c r="E946" s="37"/>
      <c r="F946" s="37"/>
      <c r="G946" s="3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8.75" customHeight="1">
      <c r="A947" s="37"/>
      <c r="B947" s="83"/>
      <c r="C947" s="37"/>
      <c r="D947" s="37"/>
      <c r="E947" s="37"/>
      <c r="F947" s="37"/>
      <c r="G947" s="3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8.75" customHeight="1">
      <c r="A948" s="37"/>
      <c r="B948" s="83"/>
      <c r="C948" s="37"/>
      <c r="D948" s="37"/>
      <c r="E948" s="37"/>
      <c r="F948" s="37"/>
      <c r="G948" s="3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8.75" customHeight="1">
      <c r="A949" s="37"/>
      <c r="B949" s="83"/>
      <c r="C949" s="37"/>
      <c r="D949" s="37"/>
      <c r="E949" s="37"/>
      <c r="F949" s="37"/>
      <c r="G949" s="3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8.75" customHeight="1">
      <c r="A950" s="37"/>
      <c r="B950" s="83"/>
      <c r="C950" s="37"/>
      <c r="D950" s="37"/>
      <c r="E950" s="37"/>
      <c r="F950" s="37"/>
      <c r="G950" s="3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8.75" customHeight="1">
      <c r="A951" s="37"/>
      <c r="B951" s="83"/>
      <c r="C951" s="37"/>
      <c r="D951" s="37"/>
      <c r="E951" s="37"/>
      <c r="F951" s="37"/>
      <c r="G951" s="3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8.75" customHeight="1">
      <c r="A952" s="37"/>
      <c r="B952" s="83"/>
      <c r="C952" s="37"/>
      <c r="D952" s="37"/>
      <c r="E952" s="37"/>
      <c r="F952" s="37"/>
      <c r="G952" s="3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8.75" customHeight="1">
      <c r="A953" s="37"/>
      <c r="B953" s="83"/>
      <c r="C953" s="37"/>
      <c r="D953" s="37"/>
      <c r="E953" s="37"/>
      <c r="F953" s="37"/>
      <c r="G953" s="3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8.75" customHeight="1">
      <c r="A954" s="37"/>
      <c r="B954" s="83"/>
      <c r="C954" s="37"/>
      <c r="D954" s="37"/>
      <c r="E954" s="37"/>
      <c r="F954" s="37"/>
      <c r="G954" s="3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8.75" customHeight="1">
      <c r="A955" s="37"/>
      <c r="B955" s="83"/>
      <c r="C955" s="37"/>
      <c r="D955" s="37"/>
      <c r="E955" s="37"/>
      <c r="F955" s="37"/>
      <c r="G955" s="3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8.75" customHeight="1">
      <c r="A956" s="37"/>
      <c r="B956" s="83"/>
      <c r="C956" s="37"/>
      <c r="D956" s="37"/>
      <c r="E956" s="37"/>
      <c r="F956" s="37"/>
      <c r="G956" s="3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8.75" customHeight="1">
      <c r="A957" s="37"/>
      <c r="B957" s="83"/>
      <c r="C957" s="37"/>
      <c r="D957" s="37"/>
      <c r="E957" s="37"/>
      <c r="F957" s="37"/>
      <c r="G957" s="3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8.75" customHeight="1">
      <c r="A958" s="37"/>
      <c r="B958" s="83"/>
      <c r="C958" s="37"/>
      <c r="D958" s="37"/>
      <c r="E958" s="37"/>
      <c r="F958" s="37"/>
      <c r="G958" s="3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8.75" customHeight="1">
      <c r="A959" s="37"/>
      <c r="B959" s="83"/>
      <c r="C959" s="37"/>
      <c r="D959" s="37"/>
      <c r="E959" s="37"/>
      <c r="F959" s="37"/>
      <c r="G959" s="3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</sheetData>
  <conditionalFormatting sqref="B3:B12">
    <cfRule type="expression" dxfId="2" priority="1">
      <formula>$A3=TRUE</formula>
    </cfRule>
  </conditionalFormatting>
  <conditionalFormatting sqref="A3:H12">
    <cfRule type="expression" dxfId="0" priority="2">
      <formula>$A3=TRUE</formula>
    </cfRule>
  </conditionalFormatting>
  <conditionalFormatting sqref="E3:E12">
    <cfRule type="cellIs" dxfId="3" priority="3" operator="equal">
      <formula>"Done"</formula>
    </cfRule>
  </conditionalFormatting>
  <conditionalFormatting sqref="E3:E12">
    <cfRule type="cellIs" dxfId="4" priority="4" operator="equal">
      <formula>"Can be Improved"</formula>
    </cfRule>
  </conditionalFormatting>
  <conditionalFormatting sqref="E3:E12">
    <cfRule type="cellIs" dxfId="5" priority="5" operator="equal">
      <formula>"To Do"</formula>
    </cfRule>
  </conditionalFormatting>
  <conditionalFormatting sqref="A3:H12">
    <cfRule type="expression" dxfId="1" priority="6">
      <formula>OR($E3="Done",$E3="Irrelevant")</formula>
    </cfRule>
  </conditionalFormatting>
  <dataValidations>
    <dataValidation type="list" allowBlank="1" sqref="E4:E6 E8:E12">
      <formula1>"Done,Can be Improved,To Do,Irrelevant"</formula1>
    </dataValidation>
  </dataValidations>
  <hyperlinks>
    <hyperlink r:id="rId1" ref="C4"/>
    <hyperlink r:id="rId2" ref="D4"/>
    <hyperlink r:id="rId3" ref="C5"/>
    <hyperlink r:id="rId4" ref="D5"/>
    <hyperlink r:id="rId5" ref="C6"/>
    <hyperlink r:id="rId6" ref="D6"/>
    <hyperlink r:id="rId7" ref="C8"/>
    <hyperlink r:id="rId8" ref="D8"/>
    <hyperlink r:id="rId9" ref="C9"/>
    <hyperlink r:id="rId10" ref="D9"/>
    <hyperlink r:id="rId11" ref="C10"/>
    <hyperlink r:id="rId12" ref="D10"/>
    <hyperlink r:id="rId13" ref="C11"/>
    <hyperlink r:id="rId14" ref="D11"/>
    <hyperlink r:id="rId15" ref="C12"/>
    <hyperlink r:id="rId16" ref="D12"/>
  </hyperlinks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5.13"/>
    <col hidden="1" min="8" max="8" width="12.63"/>
    <col customWidth="1" min="9" max="9" width="25.13"/>
    <col hidden="1" min="10" max="10" width="12.63"/>
    <col customWidth="1" min="11" max="11" width="39.38"/>
    <col customWidth="1" min="12" max="12" width="14.0"/>
    <col hidden="1" min="13" max="26" width="12.63"/>
  </cols>
  <sheetData>
    <row r="1" ht="52.5" customHeight="1">
      <c r="A1" s="1"/>
      <c r="B1" s="2"/>
      <c r="C1" s="3" t="s">
        <v>490</v>
      </c>
      <c r="D1" s="1"/>
      <c r="E1" s="1"/>
      <c r="F1" s="1"/>
      <c r="G1" s="1"/>
      <c r="H1" s="4"/>
      <c r="I1" s="4"/>
      <c r="J1" s="1"/>
      <c r="K1" s="1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76.5" customHeight="1">
      <c r="A2" s="99" t="s">
        <v>491</v>
      </c>
      <c r="B2" s="100"/>
      <c r="C2" s="101"/>
      <c r="D2" s="101"/>
      <c r="E2" s="101"/>
      <c r="F2" s="101"/>
      <c r="G2" s="101"/>
      <c r="H2" s="101"/>
      <c r="I2" s="101"/>
      <c r="J2" s="101"/>
      <c r="K2" s="102"/>
      <c r="L2" s="103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8.7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37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6" t="s">
        <v>20</v>
      </c>
      <c r="B4" s="38" t="s">
        <v>490</v>
      </c>
      <c r="C4" s="39"/>
      <c r="D4" s="39"/>
      <c r="E4" s="39"/>
      <c r="F4" s="39"/>
      <c r="G4" s="39"/>
      <c r="H4" s="39"/>
      <c r="I4" s="39"/>
      <c r="J4" s="39"/>
      <c r="K4" s="40"/>
      <c r="L4" s="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8.75" customHeight="1">
      <c r="A5" s="41" t="b">
        <v>1</v>
      </c>
      <c r="B5" s="42"/>
      <c r="C5" s="43"/>
      <c r="D5" s="43"/>
      <c r="E5" s="43"/>
      <c r="F5" s="43"/>
      <c r="G5" s="43"/>
      <c r="H5" s="43"/>
      <c r="I5" s="43"/>
      <c r="J5" s="43"/>
      <c r="K5" s="44"/>
      <c r="L5" s="10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2.5" customHeight="1">
      <c r="A6" s="6" t="s">
        <v>20</v>
      </c>
      <c r="B6" s="106" t="s">
        <v>492</v>
      </c>
      <c r="C6" s="107"/>
      <c r="D6" s="107"/>
      <c r="E6" s="107"/>
      <c r="F6" s="107"/>
      <c r="G6" s="107"/>
      <c r="H6" s="107"/>
      <c r="I6" s="107"/>
      <c r="J6" s="107"/>
      <c r="K6" s="108"/>
      <c r="L6" s="6" t="s">
        <v>493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8.75" customHeight="1">
      <c r="A7" s="109" t="b">
        <v>0</v>
      </c>
      <c r="B7" s="110" t="s">
        <v>494</v>
      </c>
      <c r="C7" s="111"/>
      <c r="D7" s="112" t="s">
        <v>495</v>
      </c>
      <c r="E7" s="111"/>
      <c r="F7" s="111"/>
      <c r="G7" s="111"/>
      <c r="H7" s="111"/>
      <c r="I7" s="111"/>
      <c r="J7" s="111"/>
      <c r="K7" s="113"/>
      <c r="L7" s="45" t="s">
        <v>496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75" customHeight="1">
      <c r="A8" s="114" t="b">
        <v>0</v>
      </c>
      <c r="B8" s="110" t="s">
        <v>497</v>
      </c>
      <c r="C8" s="111"/>
      <c r="D8" s="112" t="s">
        <v>498</v>
      </c>
      <c r="E8" s="111"/>
      <c r="F8" s="111"/>
      <c r="G8" s="111"/>
      <c r="H8" s="111"/>
      <c r="I8" s="111"/>
      <c r="J8" s="111"/>
      <c r="K8" s="113"/>
      <c r="L8" s="45" t="s">
        <v>496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75" customHeight="1">
      <c r="A9" s="115" t="b">
        <v>0</v>
      </c>
      <c r="B9" s="116" t="s">
        <v>499</v>
      </c>
      <c r="C9" s="111"/>
      <c r="D9" s="112" t="s">
        <v>500</v>
      </c>
      <c r="E9" s="111"/>
      <c r="F9" s="111"/>
      <c r="G9" s="111"/>
      <c r="H9" s="111"/>
      <c r="I9" s="111"/>
      <c r="J9" s="111"/>
      <c r="K9" s="113"/>
      <c r="L9" s="45" t="s">
        <v>496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75" customHeight="1">
      <c r="A10" s="109" t="b">
        <v>0</v>
      </c>
      <c r="B10" s="110" t="s">
        <v>501</v>
      </c>
      <c r="C10" s="111"/>
      <c r="D10" s="112" t="s">
        <v>502</v>
      </c>
      <c r="E10" s="111"/>
      <c r="F10" s="111"/>
      <c r="G10" s="111"/>
      <c r="H10" s="111"/>
      <c r="I10" s="111"/>
      <c r="J10" s="111"/>
      <c r="K10" s="113"/>
      <c r="L10" s="45" t="s">
        <v>496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8.75" customHeight="1">
      <c r="A11" s="109" t="b">
        <v>0</v>
      </c>
      <c r="B11" s="110" t="s">
        <v>503</v>
      </c>
      <c r="C11" s="111"/>
      <c r="D11" s="112" t="s">
        <v>504</v>
      </c>
      <c r="E11" s="111"/>
      <c r="F11" s="111"/>
      <c r="G11" s="111"/>
      <c r="H11" s="111"/>
      <c r="I11" s="111"/>
      <c r="J11" s="111"/>
      <c r="K11" s="113"/>
      <c r="L11" s="45" t="s">
        <v>496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8.75" customHeight="1">
      <c r="A12" s="109" t="b">
        <v>0</v>
      </c>
      <c r="B12" s="110" t="s">
        <v>505</v>
      </c>
      <c r="C12" s="111"/>
      <c r="D12" s="112" t="s">
        <v>506</v>
      </c>
      <c r="E12" s="111"/>
      <c r="F12" s="111"/>
      <c r="G12" s="111"/>
      <c r="H12" s="111"/>
      <c r="I12" s="111"/>
      <c r="J12" s="111"/>
      <c r="K12" s="113"/>
      <c r="L12" s="45" t="s">
        <v>496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8.75" customHeight="1">
      <c r="A13" s="109" t="b">
        <v>0</v>
      </c>
      <c r="B13" s="110" t="s">
        <v>507</v>
      </c>
      <c r="C13" s="117"/>
      <c r="D13" s="118" t="s">
        <v>508</v>
      </c>
      <c r="E13" s="117"/>
      <c r="F13" s="117"/>
      <c r="G13" s="117"/>
      <c r="H13" s="117"/>
      <c r="I13" s="117"/>
      <c r="J13" s="117"/>
      <c r="K13" s="119"/>
      <c r="L13" s="45" t="s">
        <v>496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8.75" customHeight="1">
      <c r="A14" s="109" t="b">
        <v>0</v>
      </c>
      <c r="B14" s="110" t="s">
        <v>509</v>
      </c>
      <c r="C14" s="117"/>
      <c r="D14" s="118" t="s">
        <v>510</v>
      </c>
      <c r="E14" s="117"/>
      <c r="F14" s="117"/>
      <c r="G14" s="117"/>
      <c r="H14" s="117"/>
      <c r="I14" s="117"/>
      <c r="J14" s="117"/>
      <c r="K14" s="119"/>
      <c r="L14" s="45" t="s">
        <v>496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8.75" customHeight="1">
      <c r="A15" s="109" t="b">
        <v>0</v>
      </c>
      <c r="B15" s="110" t="s">
        <v>511</v>
      </c>
      <c r="C15" s="117"/>
      <c r="D15" s="118" t="s">
        <v>512</v>
      </c>
      <c r="E15" s="117"/>
      <c r="F15" s="117"/>
      <c r="G15" s="117"/>
      <c r="H15" s="117"/>
      <c r="I15" s="117"/>
      <c r="J15" s="117"/>
      <c r="K15" s="119"/>
      <c r="L15" s="45" t="s">
        <v>496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8.75" customHeight="1">
      <c r="A16" s="109" t="b">
        <v>0</v>
      </c>
      <c r="B16" s="110" t="s">
        <v>513</v>
      </c>
      <c r="C16" s="117"/>
      <c r="D16" s="118" t="s">
        <v>514</v>
      </c>
      <c r="E16" s="117"/>
      <c r="F16" s="117"/>
      <c r="G16" s="117"/>
      <c r="H16" s="117"/>
      <c r="I16" s="117"/>
      <c r="J16" s="117"/>
      <c r="K16" s="119"/>
      <c r="L16" s="45" t="s">
        <v>496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8.75" customHeight="1">
      <c r="A17" s="109" t="b">
        <v>0</v>
      </c>
      <c r="B17" s="110" t="s">
        <v>515</v>
      </c>
      <c r="C17" s="117"/>
      <c r="D17" s="118" t="s">
        <v>516</v>
      </c>
      <c r="E17" s="117"/>
      <c r="F17" s="117"/>
      <c r="G17" s="117"/>
      <c r="H17" s="117"/>
      <c r="I17" s="117"/>
      <c r="J17" s="117"/>
      <c r="K17" s="119"/>
      <c r="L17" s="45" t="s">
        <v>496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8.75" customHeight="1">
      <c r="A18" s="109" t="b">
        <v>0</v>
      </c>
      <c r="B18" s="110" t="s">
        <v>517</v>
      </c>
      <c r="C18" s="117"/>
      <c r="D18" s="118" t="s">
        <v>518</v>
      </c>
      <c r="E18" s="117"/>
      <c r="F18" s="117"/>
      <c r="G18" s="117"/>
      <c r="H18" s="117"/>
      <c r="I18" s="117"/>
      <c r="J18" s="117"/>
      <c r="K18" s="119"/>
      <c r="L18" s="45" t="s">
        <v>496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8.75" customHeight="1">
      <c r="A19" s="109" t="b">
        <v>0</v>
      </c>
      <c r="B19" s="110" t="s">
        <v>519</v>
      </c>
      <c r="C19" s="117"/>
      <c r="D19" s="118" t="s">
        <v>520</v>
      </c>
      <c r="E19" s="117"/>
      <c r="F19" s="117"/>
      <c r="G19" s="117"/>
      <c r="H19" s="117"/>
      <c r="I19" s="117"/>
      <c r="J19" s="117"/>
      <c r="K19" s="119"/>
      <c r="L19" s="45" t="s">
        <v>496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8.75" customHeight="1">
      <c r="A20" s="109" t="b">
        <v>0</v>
      </c>
      <c r="B20" s="110" t="s">
        <v>521</v>
      </c>
      <c r="C20" s="117"/>
      <c r="D20" s="118" t="s">
        <v>522</v>
      </c>
      <c r="E20" s="117"/>
      <c r="F20" s="117"/>
      <c r="G20" s="117"/>
      <c r="H20" s="117"/>
      <c r="I20" s="117"/>
      <c r="J20" s="117"/>
      <c r="K20" s="119"/>
      <c r="L20" s="45" t="s">
        <v>496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8.75" customHeight="1">
      <c r="A21" s="109" t="b">
        <v>0</v>
      </c>
      <c r="B21" s="110" t="s">
        <v>523</v>
      </c>
      <c r="C21" s="117"/>
      <c r="D21" s="118" t="s">
        <v>524</v>
      </c>
      <c r="E21" s="117"/>
      <c r="F21" s="117"/>
      <c r="G21" s="117"/>
      <c r="H21" s="117"/>
      <c r="I21" s="117"/>
      <c r="J21" s="117"/>
      <c r="K21" s="119"/>
      <c r="L21" s="45" t="s">
        <v>496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8.75" customHeight="1">
      <c r="A22" s="120" t="b">
        <v>0</v>
      </c>
      <c r="B22" s="110" t="s">
        <v>525</v>
      </c>
      <c r="C22" s="121"/>
      <c r="D22" s="122" t="s">
        <v>526</v>
      </c>
      <c r="E22" s="121"/>
      <c r="F22" s="121"/>
      <c r="G22" s="121"/>
      <c r="H22" s="121"/>
      <c r="I22" s="121"/>
      <c r="J22" s="121"/>
      <c r="K22" s="123"/>
      <c r="L22" s="54" t="s">
        <v>496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8.75" customHeight="1">
      <c r="A23" s="109" t="b">
        <v>0</v>
      </c>
      <c r="B23" s="110" t="s">
        <v>527</v>
      </c>
      <c r="C23" s="124"/>
      <c r="D23" s="125" t="s">
        <v>528</v>
      </c>
      <c r="E23" s="124"/>
      <c r="F23" s="124"/>
      <c r="G23" s="124"/>
      <c r="H23" s="124"/>
      <c r="I23" s="124"/>
      <c r="J23" s="124"/>
      <c r="K23" s="126"/>
      <c r="L23" s="45" t="s">
        <v>496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6" t="s">
        <v>20</v>
      </c>
      <c r="B24" s="127" t="s">
        <v>529</v>
      </c>
      <c r="C24" s="128"/>
      <c r="D24" s="128"/>
      <c r="E24" s="128"/>
      <c r="F24" s="128"/>
      <c r="G24" s="128"/>
      <c r="H24" s="128"/>
      <c r="I24" s="128"/>
      <c r="J24" s="128"/>
      <c r="K24" s="129"/>
      <c r="L24" s="6" t="s">
        <v>493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8.75" customHeight="1">
      <c r="A25" s="130" t="b">
        <v>0</v>
      </c>
      <c r="B25" s="131" t="s">
        <v>530</v>
      </c>
      <c r="C25" s="132"/>
      <c r="D25" s="133" t="s">
        <v>498</v>
      </c>
      <c r="E25" s="132"/>
      <c r="F25" s="132"/>
      <c r="G25" s="132"/>
      <c r="H25" s="132"/>
      <c r="I25" s="132"/>
      <c r="J25" s="132"/>
      <c r="K25" s="134"/>
      <c r="L25" s="45" t="s">
        <v>496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8.75" customHeight="1">
      <c r="A26" s="109" t="b">
        <v>0</v>
      </c>
      <c r="B26" s="131" t="s">
        <v>531</v>
      </c>
      <c r="C26" s="117"/>
      <c r="D26" s="118" t="s">
        <v>532</v>
      </c>
      <c r="E26" s="117"/>
      <c r="F26" s="117"/>
      <c r="G26" s="117"/>
      <c r="H26" s="117"/>
      <c r="I26" s="117"/>
      <c r="J26" s="117"/>
      <c r="K26" s="119"/>
      <c r="L26" s="45" t="s">
        <v>496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8.75" customHeight="1">
      <c r="A27" s="109" t="b">
        <v>0</v>
      </c>
      <c r="B27" s="131" t="s">
        <v>533</v>
      </c>
      <c r="C27" s="117"/>
      <c r="D27" s="118" t="s">
        <v>534</v>
      </c>
      <c r="E27" s="117"/>
      <c r="F27" s="117"/>
      <c r="G27" s="117"/>
      <c r="H27" s="117"/>
      <c r="I27" s="117"/>
      <c r="J27" s="117"/>
      <c r="K27" s="119"/>
      <c r="L27" s="45" t="s">
        <v>496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8.75" customHeight="1">
      <c r="A28" s="109" t="b">
        <v>0</v>
      </c>
      <c r="B28" s="131" t="s">
        <v>535</v>
      </c>
      <c r="C28" s="117"/>
      <c r="D28" s="118" t="s">
        <v>536</v>
      </c>
      <c r="E28" s="117"/>
      <c r="F28" s="117"/>
      <c r="G28" s="117"/>
      <c r="H28" s="117"/>
      <c r="I28" s="117"/>
      <c r="J28" s="117"/>
      <c r="K28" s="119"/>
      <c r="L28" s="45" t="s">
        <v>496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75" customHeight="1">
      <c r="A29" s="109" t="b">
        <v>0</v>
      </c>
      <c r="B29" s="131" t="s">
        <v>537</v>
      </c>
      <c r="C29" s="117"/>
      <c r="D29" s="118" t="s">
        <v>538</v>
      </c>
      <c r="E29" s="117"/>
      <c r="F29" s="117"/>
      <c r="G29" s="117"/>
      <c r="H29" s="117"/>
      <c r="I29" s="117"/>
      <c r="J29" s="117"/>
      <c r="K29" s="119"/>
      <c r="L29" s="45" t="s">
        <v>496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75" customHeight="1">
      <c r="A30" s="109" t="b">
        <v>0</v>
      </c>
      <c r="B30" s="131" t="s">
        <v>539</v>
      </c>
      <c r="C30" s="117"/>
      <c r="D30" s="118" t="s">
        <v>540</v>
      </c>
      <c r="E30" s="117"/>
      <c r="F30" s="117"/>
      <c r="G30" s="117"/>
      <c r="H30" s="117"/>
      <c r="I30" s="117"/>
      <c r="J30" s="117"/>
      <c r="K30" s="119"/>
      <c r="L30" s="45" t="s">
        <v>496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8.75" customHeight="1">
      <c r="A31" s="109" t="b">
        <v>0</v>
      </c>
      <c r="B31" s="135" t="s">
        <v>541</v>
      </c>
      <c r="C31" s="117"/>
      <c r="D31" s="118" t="s">
        <v>542</v>
      </c>
      <c r="E31" s="117"/>
      <c r="F31" s="117"/>
      <c r="G31" s="117"/>
      <c r="H31" s="117"/>
      <c r="I31" s="117"/>
      <c r="J31" s="117"/>
      <c r="K31" s="119"/>
      <c r="L31" s="45" t="s">
        <v>496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8.75" customHeight="1">
      <c r="A32" s="109" t="b">
        <v>0</v>
      </c>
      <c r="B32" s="131" t="s">
        <v>543</v>
      </c>
      <c r="C32" s="117"/>
      <c r="D32" s="118" t="s">
        <v>544</v>
      </c>
      <c r="E32" s="117"/>
      <c r="F32" s="117"/>
      <c r="G32" s="117"/>
      <c r="H32" s="117"/>
      <c r="I32" s="117"/>
      <c r="J32" s="117"/>
      <c r="K32" s="119"/>
      <c r="L32" s="45" t="s">
        <v>496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8.75" customHeight="1">
      <c r="A33" s="109" t="b">
        <v>0</v>
      </c>
      <c r="B33" s="131" t="s">
        <v>545</v>
      </c>
      <c r="C33" s="117"/>
      <c r="D33" s="118" t="s">
        <v>546</v>
      </c>
      <c r="E33" s="117"/>
      <c r="F33" s="117"/>
      <c r="G33" s="117"/>
      <c r="H33" s="117"/>
      <c r="I33" s="117"/>
      <c r="J33" s="117"/>
      <c r="K33" s="119"/>
      <c r="L33" s="45" t="s">
        <v>496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8.75" customHeight="1">
      <c r="A34" s="109" t="b">
        <v>0</v>
      </c>
      <c r="B34" s="136" t="s">
        <v>547</v>
      </c>
      <c r="C34" s="117"/>
      <c r="D34" s="118" t="s">
        <v>548</v>
      </c>
      <c r="E34" s="117"/>
      <c r="F34" s="117"/>
      <c r="G34" s="117"/>
      <c r="H34" s="117"/>
      <c r="I34" s="117"/>
      <c r="J34" s="117"/>
      <c r="K34" s="119"/>
      <c r="L34" s="45" t="s">
        <v>496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8.75" customHeight="1">
      <c r="A35" s="109" t="b">
        <v>0</v>
      </c>
      <c r="B35" s="131" t="s">
        <v>549</v>
      </c>
      <c r="C35" s="117"/>
      <c r="D35" s="118" t="s">
        <v>550</v>
      </c>
      <c r="E35" s="117"/>
      <c r="F35" s="117"/>
      <c r="G35" s="117"/>
      <c r="H35" s="117"/>
      <c r="I35" s="117"/>
      <c r="J35" s="117"/>
      <c r="K35" s="119"/>
      <c r="L35" s="45" t="s">
        <v>496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8.75" customHeight="1">
      <c r="A36" s="109" t="b">
        <v>0</v>
      </c>
      <c r="B36" s="131" t="s">
        <v>551</v>
      </c>
      <c r="C36" s="117"/>
      <c r="D36" s="118" t="s">
        <v>552</v>
      </c>
      <c r="E36" s="117"/>
      <c r="F36" s="117"/>
      <c r="G36" s="117"/>
      <c r="H36" s="117"/>
      <c r="I36" s="117"/>
      <c r="J36" s="117"/>
      <c r="K36" s="119"/>
      <c r="L36" s="45" t="s">
        <v>496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8.75" customHeight="1">
      <c r="A37" s="109" t="b">
        <v>0</v>
      </c>
      <c r="B37" s="131" t="s">
        <v>553</v>
      </c>
      <c r="C37" s="117"/>
      <c r="D37" s="118" t="s">
        <v>554</v>
      </c>
      <c r="E37" s="117"/>
      <c r="F37" s="117"/>
      <c r="G37" s="117"/>
      <c r="H37" s="117"/>
      <c r="I37" s="117"/>
      <c r="J37" s="117"/>
      <c r="K37" s="119"/>
      <c r="L37" s="45" t="s">
        <v>496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8.75" customHeight="1">
      <c r="A38" s="109" t="b">
        <v>0</v>
      </c>
      <c r="B38" s="131" t="s">
        <v>555</v>
      </c>
      <c r="C38" s="117"/>
      <c r="D38" s="118" t="s">
        <v>556</v>
      </c>
      <c r="E38" s="117"/>
      <c r="F38" s="117"/>
      <c r="G38" s="117"/>
      <c r="H38" s="117"/>
      <c r="I38" s="117"/>
      <c r="J38" s="117"/>
      <c r="K38" s="119"/>
      <c r="L38" s="45" t="s">
        <v>496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8.75" customHeight="1">
      <c r="A39" s="109" t="b">
        <v>0</v>
      </c>
      <c r="B39" s="131" t="s">
        <v>557</v>
      </c>
      <c r="C39" s="117"/>
      <c r="D39" s="118" t="s">
        <v>558</v>
      </c>
      <c r="E39" s="117"/>
      <c r="F39" s="117"/>
      <c r="G39" s="117"/>
      <c r="H39" s="117"/>
      <c r="I39" s="117"/>
      <c r="J39" s="117"/>
      <c r="K39" s="119"/>
      <c r="L39" s="45" t="s">
        <v>496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8.75" customHeight="1">
      <c r="A40" s="109" t="b">
        <v>0</v>
      </c>
      <c r="B40" s="131" t="s">
        <v>559</v>
      </c>
      <c r="C40" s="117"/>
      <c r="D40" s="118" t="s">
        <v>560</v>
      </c>
      <c r="E40" s="117"/>
      <c r="F40" s="117"/>
      <c r="G40" s="117"/>
      <c r="H40" s="117"/>
      <c r="I40" s="117"/>
      <c r="J40" s="117"/>
      <c r="K40" s="119"/>
      <c r="L40" s="45" t="s">
        <v>496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8.75" customHeight="1">
      <c r="A41" s="109" t="b">
        <v>0</v>
      </c>
      <c r="B41" s="131" t="s">
        <v>561</v>
      </c>
      <c r="C41" s="117"/>
      <c r="D41" s="118" t="s">
        <v>562</v>
      </c>
      <c r="E41" s="117"/>
      <c r="F41" s="117"/>
      <c r="G41" s="117"/>
      <c r="H41" s="117"/>
      <c r="I41" s="117"/>
      <c r="J41" s="117"/>
      <c r="K41" s="119"/>
      <c r="L41" s="45" t="s">
        <v>496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8.75" customHeight="1">
      <c r="A42" s="109" t="b">
        <v>0</v>
      </c>
      <c r="B42" s="131" t="s">
        <v>563</v>
      </c>
      <c r="C42" s="117"/>
      <c r="D42" s="118" t="s">
        <v>564</v>
      </c>
      <c r="E42" s="117"/>
      <c r="F42" s="117"/>
      <c r="G42" s="117"/>
      <c r="H42" s="117"/>
      <c r="I42" s="117"/>
      <c r="J42" s="117"/>
      <c r="K42" s="119"/>
      <c r="L42" s="45" t="s">
        <v>496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8.75" customHeight="1">
      <c r="A43" s="109" t="b">
        <v>0</v>
      </c>
      <c r="B43" s="136" t="s">
        <v>565</v>
      </c>
      <c r="C43" s="117"/>
      <c r="D43" s="118" t="s">
        <v>552</v>
      </c>
      <c r="E43" s="117"/>
      <c r="F43" s="117"/>
      <c r="G43" s="117"/>
      <c r="H43" s="117"/>
      <c r="I43" s="117"/>
      <c r="J43" s="117"/>
      <c r="K43" s="119"/>
      <c r="L43" s="45" t="s">
        <v>496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8.75" customHeight="1">
      <c r="A44" s="109" t="b">
        <v>0</v>
      </c>
      <c r="B44" s="131" t="s">
        <v>566</v>
      </c>
      <c r="C44" s="117"/>
      <c r="D44" s="118" t="s">
        <v>567</v>
      </c>
      <c r="E44" s="117"/>
      <c r="F44" s="117"/>
      <c r="G44" s="117"/>
      <c r="H44" s="117"/>
      <c r="I44" s="117"/>
      <c r="J44" s="117"/>
      <c r="K44" s="119"/>
      <c r="L44" s="45" t="s">
        <v>496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8.75" customHeight="1">
      <c r="A45" s="109" t="b">
        <v>0</v>
      </c>
      <c r="B45" s="131" t="s">
        <v>568</v>
      </c>
      <c r="C45" s="117"/>
      <c r="D45" s="118" t="s">
        <v>569</v>
      </c>
      <c r="E45" s="117"/>
      <c r="F45" s="117"/>
      <c r="G45" s="117"/>
      <c r="H45" s="117"/>
      <c r="I45" s="117"/>
      <c r="J45" s="117"/>
      <c r="K45" s="119"/>
      <c r="L45" s="45" t="s">
        <v>496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8.75" customHeight="1">
      <c r="A46" s="109" t="b">
        <v>0</v>
      </c>
      <c r="B46" s="131" t="s">
        <v>570</v>
      </c>
      <c r="C46" s="117"/>
      <c r="D46" s="118" t="s">
        <v>571</v>
      </c>
      <c r="E46" s="117"/>
      <c r="F46" s="117"/>
      <c r="G46" s="117"/>
      <c r="H46" s="117"/>
      <c r="I46" s="117"/>
      <c r="J46" s="117"/>
      <c r="K46" s="119"/>
      <c r="L46" s="45" t="s">
        <v>496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8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37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8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37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8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37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8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37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8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37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8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37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8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37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8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37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8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37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8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37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8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37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8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37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8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37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8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37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8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37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8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37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8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37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8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37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8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37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8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37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8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37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8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37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8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37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8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37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8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37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8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37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8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37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8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37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8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37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8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37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8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37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8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37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8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37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8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37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8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37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8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37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8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37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8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37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8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37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8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37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8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37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8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37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8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37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8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37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8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37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8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37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8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37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8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37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8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37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8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37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8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37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8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37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8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37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8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37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8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37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8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37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8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37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8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37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8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37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8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37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8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37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8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37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8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37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8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37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8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37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8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37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8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37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8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37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8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37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8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37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8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37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8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37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8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37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8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37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8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37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8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37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8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37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8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37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8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37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8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37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8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37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8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37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8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37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8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37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8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37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8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37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8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37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8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37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8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37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8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37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8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37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8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37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8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37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8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37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8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37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8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37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8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37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8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37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8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37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8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37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8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37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8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37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8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37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8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37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8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37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8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37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8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37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8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37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8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37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8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37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8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37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8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37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8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37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8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37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8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37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8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37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8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37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8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37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8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37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8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37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8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37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8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37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8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37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8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37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8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37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8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37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8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37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8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37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8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37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8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37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8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37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8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37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8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37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8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37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8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37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8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37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8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37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8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37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8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37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8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37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8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37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8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37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8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37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8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37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8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37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8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37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8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37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8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37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8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37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8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37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8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37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8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37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8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37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8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37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8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37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8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37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8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37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8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37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8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37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8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37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8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37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8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37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8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37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8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37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8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37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8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37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8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37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8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37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8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37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8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37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8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37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8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37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8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37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8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37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8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37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8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37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8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37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8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37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8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37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8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37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8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37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8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37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8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37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8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37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8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37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8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37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8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37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8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37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8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37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8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37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8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37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8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37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8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37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8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37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8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37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8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37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8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37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8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37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8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37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8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37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8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37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8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37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8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37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8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37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8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37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8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37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8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37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8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37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8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37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8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37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8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37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8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37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8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37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8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37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8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37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8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37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8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37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8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37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8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37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8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37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8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37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8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37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8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37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8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37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8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37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8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37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8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37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8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37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8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37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8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37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8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37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8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37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8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37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8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37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8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37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8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37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8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37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8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37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8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37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8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37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8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37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8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37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8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37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8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37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8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37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8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37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8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37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8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37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8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37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8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37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8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37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8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37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8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37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8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37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8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37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8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37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8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37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8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37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8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37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8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37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8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37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8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37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8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37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8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37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8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37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8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37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8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37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8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37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8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37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8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37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8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37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8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37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8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37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8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37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8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37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8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37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8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37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8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37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8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37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8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37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8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37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8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37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8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37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8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37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8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37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8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37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8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37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8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37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8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37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8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37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8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37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8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37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8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37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8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37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8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37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8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37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8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37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8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37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8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37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8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37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8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37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8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37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8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37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8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37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8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37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8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37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8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37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8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37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8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37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8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37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8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37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8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37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8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37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8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37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8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37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8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37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8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37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8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37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8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37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8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37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8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37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8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37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8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37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8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37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8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37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8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37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8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37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8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37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8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37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8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37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8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37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8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37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8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37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8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37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8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37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8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37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8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37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8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37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8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37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8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37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8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37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8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37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8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37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8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37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8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37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8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37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8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37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8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37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8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37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8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37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8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37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8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37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8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37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8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37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8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37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8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37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8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37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8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37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8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37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8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37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8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37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8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37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8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37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8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37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8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37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8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37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8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37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8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37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8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37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8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37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8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37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8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37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8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37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8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37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8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37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8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37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8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37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8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37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8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37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8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37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8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37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8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37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8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37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8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37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8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37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8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37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8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37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8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37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8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37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8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37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8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37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8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37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8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37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8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37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8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37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8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37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8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37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8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37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8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37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8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37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8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37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8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37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8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37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8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37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8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37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8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37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8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37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8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37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8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37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8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37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8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37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8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37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8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37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8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37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8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37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8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37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8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37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8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37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8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37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8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37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8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37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8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37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8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37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8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37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8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37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8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37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8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37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8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37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8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37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8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37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8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37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8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37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8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37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8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37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8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37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8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37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8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37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8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37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8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37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8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37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8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37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8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37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8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37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8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37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8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37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8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37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8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37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8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37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8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37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8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37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8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37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8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37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8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37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8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37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8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37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8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37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8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37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8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37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8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37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8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37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8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37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8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37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8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37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8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37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8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37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8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37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8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37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8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37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8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37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8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37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8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37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8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37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8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37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8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37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8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37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8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37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8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37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8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37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8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37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8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37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8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37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8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37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8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37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8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37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8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37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8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37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8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37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8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37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8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37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8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37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8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37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8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37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8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37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8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37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8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37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8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37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8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37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8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37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8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37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8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37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8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37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8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37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8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37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8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37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8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37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8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37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8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37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8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37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8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37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8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37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8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37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8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37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8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37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8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37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8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37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8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37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8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37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8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37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8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37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8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37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8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37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8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37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8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37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8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37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8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37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8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37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8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37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8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37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8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37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8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37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8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37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8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37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8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37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8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37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8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37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8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37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8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37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8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37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8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37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8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37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8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37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8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37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8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37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8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37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8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37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8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37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8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37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8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37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8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37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8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37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8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37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8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37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8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37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8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37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8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37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8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37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8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37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8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37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8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37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8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37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8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37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8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37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8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37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8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37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8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37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8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37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8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37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8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37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8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37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8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37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8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37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8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37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8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37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8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37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8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37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8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37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8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37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8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37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8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37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8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37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8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37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8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37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8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37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8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37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8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37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8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37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8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37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8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37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8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37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8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37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8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37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8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37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8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37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8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37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8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37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8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37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8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37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8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37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8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37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8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37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8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37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8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37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8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37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8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37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8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37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8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37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8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37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8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37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8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37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8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37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8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37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8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37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8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37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8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37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8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37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8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37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8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37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8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37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8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37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8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37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8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37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8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37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8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37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8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37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8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37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8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37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8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37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8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37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8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37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8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37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8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37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8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37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8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37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8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37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8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37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8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37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8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37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8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37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8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37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8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37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8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37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8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37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8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37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8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37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8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37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8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37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8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37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8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37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8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37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8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37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8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37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8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37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8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37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8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37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8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37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8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37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8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37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8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37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8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37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8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37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8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37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8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37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8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37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8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37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8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37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8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37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8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37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8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37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8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37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8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37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8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37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8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37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8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37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8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37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8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37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8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37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8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37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8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37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8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37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8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37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8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37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8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37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8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37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8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37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8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37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8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37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8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37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8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37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8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37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8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37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8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37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8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37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8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37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8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37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8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37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8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37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8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37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8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37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8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37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8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37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8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37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8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37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8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37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8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37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8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37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8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37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8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37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8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37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8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37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8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37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8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37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8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37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8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37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8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37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8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37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8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37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8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37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8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37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8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37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8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37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8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37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8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37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8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37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8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37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8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37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8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37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8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37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8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37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8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37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8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37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8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37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8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37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8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37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8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37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8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37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8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37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8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37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8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37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8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37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8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37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8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37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8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37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8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37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8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37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8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37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8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37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8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37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8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37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8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37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8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37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8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37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8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37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8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37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8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37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8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37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8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37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8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37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8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37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8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37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8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37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8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37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8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37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8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37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8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37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8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37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8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37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8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37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8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37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8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37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8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37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8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37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8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37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8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37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8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37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8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37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8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37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8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37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8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37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8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37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8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37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8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37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8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37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8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37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8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37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8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37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8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37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8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37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8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37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8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37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8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37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8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37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8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37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8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37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8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37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8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37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8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37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8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37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8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37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8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37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8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37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8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37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8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37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8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37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8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37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8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37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8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37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8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37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8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37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8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37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8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37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8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37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8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37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8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37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8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37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8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37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8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37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8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37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8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37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8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37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8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37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8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37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8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37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8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37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8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37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8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37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8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37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8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37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8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37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8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37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8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37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8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37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8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37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8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37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8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37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8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37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8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37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8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37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8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37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8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37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8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37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8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37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8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37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8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37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8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37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8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37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8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37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8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37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8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37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8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37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8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37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8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37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8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37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8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37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</sheetData>
  <conditionalFormatting sqref="L5 L7:L23 L25:L46">
    <cfRule type="expression" dxfId="0" priority="1">
      <formula>$A5=TRUE</formula>
    </cfRule>
  </conditionalFormatting>
  <conditionalFormatting sqref="L5 L7:L23 L25:L46">
    <cfRule type="expression" dxfId="1" priority="2">
      <formula>OR($E5="Good",$E5="Not Relevant")</formula>
    </cfRule>
  </conditionalFormatting>
  <conditionalFormatting sqref="A5:K5 A7:K23 A25:K46">
    <cfRule type="expression" dxfId="2" priority="3">
      <formula>$A5=TRUE</formula>
    </cfRule>
  </conditionalFormatting>
  <hyperlinks>
    <hyperlink r:id="rId1" ref="L7"/>
    <hyperlink r:id="rId2" ref="L8"/>
    <hyperlink r:id="rId3" ref="B9"/>
    <hyperlink r:id="rId4" ref="L9"/>
    <hyperlink r:id="rId5" ref="L10"/>
    <hyperlink r:id="rId6" ref="L11"/>
    <hyperlink r:id="rId7" ref="L12"/>
    <hyperlink r:id="rId8" ref="L13"/>
    <hyperlink r:id="rId9" ref="L14"/>
    <hyperlink r:id="rId10" ref="L15"/>
    <hyperlink r:id="rId11" ref="L16"/>
    <hyperlink r:id="rId12" ref="L17"/>
    <hyperlink r:id="rId13" ref="L18"/>
    <hyperlink r:id="rId14" ref="L19"/>
    <hyperlink r:id="rId15" ref="L20"/>
    <hyperlink r:id="rId16" ref="L21"/>
    <hyperlink r:id="rId17" ref="L22"/>
    <hyperlink r:id="rId18" ref="L23"/>
    <hyperlink r:id="rId19" ref="L25"/>
    <hyperlink r:id="rId20" ref="L26"/>
    <hyperlink r:id="rId21" ref="L27"/>
    <hyperlink r:id="rId22" ref="L28"/>
    <hyperlink r:id="rId23" ref="L29"/>
    <hyperlink r:id="rId24" ref="L30"/>
    <hyperlink r:id="rId25" ref="L31"/>
    <hyperlink r:id="rId26" ref="L32"/>
    <hyperlink r:id="rId27" ref="L33"/>
    <hyperlink r:id="rId28" ref="L34"/>
    <hyperlink r:id="rId29" ref="L35"/>
    <hyperlink r:id="rId30" ref="L36"/>
    <hyperlink r:id="rId31" ref="L37"/>
    <hyperlink r:id="rId32" ref="L38"/>
    <hyperlink r:id="rId33" ref="L39"/>
    <hyperlink r:id="rId34" ref="L40"/>
    <hyperlink r:id="rId35" ref="L41"/>
    <hyperlink r:id="rId36" ref="L42"/>
    <hyperlink r:id="rId37" ref="L43"/>
    <hyperlink r:id="rId38" ref="L44"/>
    <hyperlink r:id="rId39" ref="L45"/>
    <hyperlink r:id="rId40" ref="L46"/>
  </hyperlinks>
  <drawing r:id="rId41"/>
</worksheet>
</file>